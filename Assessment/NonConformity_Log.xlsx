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og32\OneDrive\ISO27001\"/>
    </mc:Choice>
  </mc:AlternateContent>
  <xr:revisionPtr revIDLastSave="0" documentId="8_{81304BE5-3998-489D-8591-2B73E018531B}" xr6:coauthVersionLast="47" xr6:coauthVersionMax="47" xr10:uidLastSave="{00000000-0000-0000-0000-000000000000}"/>
  <bookViews>
    <workbookView xWindow="28680" yWindow="-120" windowWidth="29040" windowHeight="15720" tabRatio="500" xr2:uid="{00000000-000D-0000-FFFF-FFFF00000000}"/>
  </bookViews>
  <sheets>
    <sheet name="Nonconformity Log" sheetId="1" r:id="rId1"/>
    <sheet name="Key &amp; Summary" sheetId="2" r:id="rId2"/>
  </sheets>
  <definedNames>
    <definedName name="_xlnm._FilterDatabase" localSheetId="0" hidden="1">'Nonconformity Log'!$A$5:$P$5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2" l="1"/>
  <c r="C7" i="2"/>
  <c r="C6" i="2"/>
  <c r="C5" i="2"/>
  <c r="C4" i="2"/>
  <c r="C3" i="2"/>
</calcChain>
</file>

<file path=xl/sharedStrings.xml><?xml version="1.0" encoding="utf-8"?>
<sst xmlns="http://schemas.openxmlformats.org/spreadsheetml/2006/main" count="111" uniqueCount="99">
  <si>
    <t>ISO/IEC 27001 ISMS — Nonconformity &amp; Corrective Action Log</t>
  </si>
  <si>
    <t>Organisation: Northgate University  (Tabletop Assessment)      |      Audit Date: 10 May 2026      |      Classification: Internal      |      Version: 1.0</t>
  </si>
  <si>
    <t>Source: ISO 27001 ISMS Tabletop Audit Report — Findings F1–F5.  Prepared by Kelvin Guzman.  NC severity reflects the systemic (Major) vs. isolated/partial (Minor) nature of each gap and aligns with the inherent-risk ratings in the source report.</t>
  </si>
  <si>
    <t>NC ID</t>
  </si>
  <si>
    <t>Date Raised</t>
  </si>
  <si>
    <t>Source / Finding Ref</t>
  </si>
  <si>
    <t>ISO/IEC 27001 Reference</t>
  </si>
  <si>
    <t>Control Area</t>
  </si>
  <si>
    <t>NC Type</t>
  </si>
  <si>
    <t>Nonconformity Description</t>
  </si>
  <si>
    <t>Objective Evidence (Audit Basis)</t>
  </si>
  <si>
    <t>Root Cause</t>
  </si>
  <si>
    <t>Correction (Immediate Containment)</t>
  </si>
  <si>
    <t>Corrective Action (Eliminate Root Cause)</t>
  </si>
  <si>
    <t>Action Owner</t>
  </si>
  <si>
    <t>Target Date</t>
  </si>
  <si>
    <t>Status</t>
  </si>
  <si>
    <t>Verification / Closure Criteria</t>
  </si>
  <si>
    <t>Resolution Date</t>
  </si>
  <si>
    <t>NC-001</t>
  </si>
  <si>
    <t>Internal ISMS Audit (Tabletop) — Finding F1</t>
  </si>
  <si>
    <t>2013: A.6.2.2, A.13.1, A.9.4
2022: 6.7, 8.20–8.23, 8.3</t>
  </si>
  <si>
    <t>Remote Working &amp; Network Security</t>
  </si>
  <si>
    <t>Major</t>
  </si>
  <si>
    <t>The Remote Working Policy defines requirements for secure remote access (VPN use, secure configuration, user responsibilities), but the ISMS provides no evidence of centralised enforcement, continuous monitoring of remote-access activity, or validation of endpoint compliance. Defined control intent is not translated into an enforced, evidenced technical control.</t>
  </si>
  <si>
    <t>Documentation review of the Remote Working Policy. No supporting evidence of MFA enforcement, endpoint compliance checks, or remote-access log review was available within the ISMS documentation set.</t>
  </si>
  <si>
    <t>The Remote Working Policy was authored as a governance / expectation document without a corresponding technical enforcement standard, an assigned operational owner, or a defined monitoring requirement to translate policy into enforced configuration and auditable evidence.</t>
  </si>
  <si>
    <t>Mandate Multi-Factor Authentication (MFA) across all remote-access channels immediately (Entra ID / Azure AD Conditional Access or equivalent identity provider).</t>
  </si>
  <si>
    <t>Implement centralised remote-access enforcement: MDM/Intune for endpoint compliance and BeyondTrust or Zscaler for privileged remote access. Route remote-access logs into a SIEM (Microsoft Sentinel or Splunk) with monthly review. Establish quarterly endpoint security-posture validation and assign a named operational owner.</t>
  </si>
  <si>
    <t>Head of IT Operations</t>
  </si>
  <si>
    <t>09 Jun 2026 (MFA mandate)
09 Jul 2026 (centralised enforcement + SIEM)</t>
  </si>
  <si>
    <t>Open</t>
  </si>
  <si>
    <t>100% of remote-access sessions authenticated via MFA; endpoint compliance checks active; remote-access logs reviewed monthly with evidence retained; SIEM integration confirmed.</t>
  </si>
  <si>
    <t>NC-002</t>
  </si>
  <si>
    <t>Internal ISMS Audit (Tabletop) — Finding F2</t>
  </si>
  <si>
    <t>2013: A.8.1.1, A.8.1.2
2022: 5.9, 5.10</t>
  </si>
  <si>
    <t>Asset Management &amp; Ownership (IAO)</t>
  </si>
  <si>
    <t>The Information Asset Owner (IAO) role is formally defined in the Information Asset Owners Handbook, but there is insufficient evidence that IAO responsibilities are consistently executed: limited evidence of asset-level risk assessments, unclear maintenance of asset registers, and no standardised IAO-to-governance reporting.</t>
  </si>
  <si>
    <t>Review of the Information Asset Owners Handbook. No asset-level risk assessments, populated asset registers, or IAO reporting outputs were evidenced in the documentation reviewed.</t>
  </si>
  <si>
    <t>Asset ownership was defined organisationally but not operationalised procedurally. The ISMS lacks a defined reporting cadence, standardised templates, and a central validation function to make IAO accountability evidenced and enforceable.</t>
  </si>
  <si>
    <t>Issue an interim standardised IAO reporting template and require IAOs to confirm current asset assignments and classifications.</t>
  </si>
  <si>
    <t>Establish a quarterly IAO reporting cycle to the governance board; require periodic asset-level risk assessments (minimum annual, with mid-year exception reporting); implement centralised asset-inventory tracking with audit oversight (interim SharePoint register with version control acceptable); define and baseline asset-ownership KPIs.</t>
  </si>
  <si>
    <t>Information Security Manager / CISO</t>
  </si>
  <si>
    <t>09 Jul 2026 (template + KPI framework)
08 Aug 2026 (first governance submission)</t>
  </si>
  <si>
    <t>100% of in-scope assets assigned an active IAO with a dated risk assessment on file; quarterly IAO report tabled at the governance board; KPIs baselined and reported.</t>
  </si>
  <si>
    <t>NC-003</t>
  </si>
  <si>
    <t>Internal ISMS Audit (Tabletop) — Finding F3</t>
  </si>
  <si>
    <t>2013: Clause 6.1.2/6.1.3, 8.2/8.3
2022: Clause 6.1.2/6.1.3, 8.2/8.3</t>
  </si>
  <si>
    <t>Risk Management (ISMS Clause 6 &amp; 8)</t>
  </si>
  <si>
    <t>Minor</t>
  </si>
  <si>
    <t>A documented risk-management methodology aligned with ISO principles exists but is not operating as a live process. There is no evidence that risk assessments are performed on a scheduled basis, that the risk register is updated with new or changed risks, or that risk-treatment decisions are documented and tracked to completion.</t>
  </si>
  <si>
    <t>Review of the Risk Management Policy and Methodology. No evidence of a maintained central risk register, scheduled risk reviews, or tracked treatment plans was available.</t>
  </si>
  <si>
    <t>The methodology was established at the policy layer but never assigned a process owner or embedded into a recurring governance cycle. The risk register exists as a static artefact with no trigger, cadence, or accountability driving its maintenance.</t>
  </si>
  <si>
    <t>Designate a named Risk Register Owner and perform an immediate review / refresh of the central risk register.</t>
  </si>
  <si>
    <t>Embed a quarterly risk-review cycle as a standing governance-board agenda item; require all IAOs to submit risk assessments against their asset portfolios; define an escalation process for risks rated High/Critical; integrate risk outputs into decision-making and control validation.</t>
  </si>
  <si>
    <t>Information Security Risk Manager</t>
  </si>
  <si>
    <t>09 Jun 2026 (owner designated + register reviewed)
09 Jul 2026 (first governance submission)</t>
  </si>
  <si>
    <t>Active risk register with dated entries; all High-rated risks have an assigned owner and treatment plan; risk register reviewed at the governance board with documented minutes.</t>
  </si>
  <si>
    <t>NC-004</t>
  </si>
  <si>
    <t>Internal ISMS Audit (Tabletop) — Finding F4</t>
  </si>
  <si>
    <t>2013: A.12.4, A.16.1, Clause 9.1
2022: 8.15, 8.16, Clause 9.1</t>
  </si>
  <si>
    <t>Monitoring, Logging &amp; Incident Management</t>
  </si>
  <si>
    <t>There is no ongoing visibility into whether implemented controls perform as intended. No evidence of audit-log reviews, no defined Key Risk Indicators (KRIs) or Key Control Indicators (KCIs), and no monitoring dashboard or reporting mechanism to detect control failure between formal audit cycles. Directly corresponds to ISO/IEC 27001:2022 control 8.16 (Monitoring activities).</t>
  </si>
  <si>
    <t>Documentation review. No KRI/KCI definitions, log-review records, or monitoring outputs were evidenced.</t>
  </si>
  <si>
    <t>The ISMS defines controls but did not define how control performance is measured. No Clause 9.1 monitoring-and-measurement programme, KRIs/KCIs, or log-review responsibilities were specified, leaving no mechanism to detect control degradation.</t>
  </si>
  <si>
    <t>Begin monthly review of currently available access and system logs and record the outcomes.</t>
  </si>
  <si>
    <t>Define a KRI/KCI framework for the four highest-risk domains (remote access, asset management, risk management, incident response), each with thresholds, owners, and review frequency; implement centralised logging/monitoring with a monthly-reviewed dashboard; establish a quarterly control-performance review reported to the CISO/governance board; retain monitoring evidence.</t>
  </si>
  <si>
    <t>Information Security Manager / IT Operations Lead</t>
  </si>
  <si>
    <t>24 Jun 2026 (KRI/KCI framework)
08 Aug 2026 (first monthly monitoring report)</t>
  </si>
  <si>
    <t>Documented KRI/KCI framework in place; monthly monitoring reports produced and retained for a minimum of 12 months; control performance tabled at the governance board quarterly.</t>
  </si>
  <si>
    <t>OBS-001</t>
  </si>
  <si>
    <t>Internal ISMS Audit (Tabletop) — Observation F5</t>
  </si>
  <si>
    <t>ISMS integration (Clauses 4–10)</t>
  </si>
  <si>
    <t>Governance / ISMS Framework Integration</t>
  </si>
  <si>
    <t>Observation (OFI)</t>
  </si>
  <si>
    <t>Not a nonconformity. The policy framework is comprehensive and well-aligned with ISO 27001, but opportunities exist to improve integration between policies and operational processes, enhance cross-domain visibility of control implementation, and strengthen linkages between governance, risk, and technical controls.</t>
  </si>
  <si>
    <t>Documentation review indicates strong individual policies developed largely as discrete documents rather than as an integrated, cross-referenced management system.</t>
  </si>
  <si>
    <t>Policies were developed as standalone documents rather than as an integrated management system with cross-references and a unifying governance view. This reflects ISMS maturity stage rather than a control defect.</t>
  </si>
  <si>
    <t>N/A — improvement opportunity (not a control failure).</t>
  </si>
  <si>
    <t>Align policies with a centralised governance dashboard and reporting structure; build a risk–control–outcome traceability matrix to link findings to controls and remediation.</t>
  </si>
  <si>
    <t>CISO / ISMS Manager</t>
  </si>
  <si>
    <t>Next scheduled ISMS management review</t>
  </si>
  <si>
    <t>Governance dashboard operational; documented risk–control–outcome traceability matrix maintained.</t>
  </si>
  <si>
    <t>Summary</t>
  </si>
  <si>
    <t>Major nonconformities</t>
  </si>
  <si>
    <t>Minor nonconformities</t>
  </si>
  <si>
    <t>Observations (OFI)</t>
  </si>
  <si>
    <t>Total entries</t>
  </si>
  <si>
    <t>Closed</t>
  </si>
  <si>
    <t>Nonconformity Type — Definitions</t>
  </si>
  <si>
    <t>A significant failure or total absence of a required control or process, or a systemic breakdown that raises significant doubt about the ISMS's ability to achieve its intended outcomes. Typically must be resolved before ISO 27001 certification can be granted.</t>
  </si>
  <si>
    <t>An isolated or partial lapse in a defined control or process that does not represent a systemic breakdown. Requires correction and corrective action, but does not by itself prevent certification.</t>
  </si>
  <si>
    <t>Not a nonconformity. An opportunity for improvement or an early-warning indicator that strengthens the ISMS if addressed. Logged for visibility and continual improvement (Clause 10.1).</t>
  </si>
  <si>
    <t>Status — Definitions</t>
  </si>
  <si>
    <t>Nonconformity raised; correction and/or corrective action not yet verified as complete.</t>
  </si>
  <si>
    <t>In Progress</t>
  </si>
  <si>
    <t>Corrective action underway; awaiting completion and verification of effectiveness.</t>
  </si>
  <si>
    <t>Corrective action implemented and verified as effective against the closure criteria; resolution date recorded.</t>
  </si>
  <si>
    <t>Process reference: corrections address the immediate issue; corrective actions eliminate the root cause to prevent recurrence (ISO/IEC 27001 Clause 10.1 / 10.2). This is a tabletop assessment of the organisation's policy documentation. Northgate University is a fictional organisation used for this portfolio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</si>
</sst>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16" x14ac:knownFonts="1">
    <font>
      <sz val="11"/>
      <color theme="1"/>
      <name val="Calibri"/>
      <family val="2"/>
      <charset val="1"/>
    </font>
    <font>
      <b/>
      <sz val="16"/>
      <color rgb="FFFFFFFF"/>
      <name val="Calibri"/>
      <charset val="1"/>
    </font>
    <font>
      <b/>
      <sz val="10"/>
      <color rgb="FF1F3864"/>
      <name val="Calibri"/>
      <charset val="1"/>
    </font>
    <font>
      <i/>
      <sz val="9"/>
      <color rgb="FF595959"/>
      <name val="Calibri"/>
      <charset val="1"/>
    </font>
    <font>
      <b/>
      <sz val="10"/>
      <color rgb="FFFFFFFF"/>
      <name val="Calibri"/>
      <charset val="1"/>
    </font>
    <font>
      <sz val="9"/>
      <color rgb="FF000000"/>
      <name val="Calibri"/>
      <charset val="1"/>
    </font>
    <font>
      <b/>
      <sz val="9"/>
      <color rgb="FF9C0006"/>
      <name val="Calibri"/>
      <charset val="1"/>
    </font>
    <font>
      <b/>
      <sz val="9"/>
      <color rgb="FF833C00"/>
      <name val="Calibri"/>
      <charset val="1"/>
    </font>
    <font>
      <b/>
      <sz val="9"/>
      <color rgb="FF9C6500"/>
      <name val="Calibri"/>
      <charset val="1"/>
    </font>
    <font>
      <b/>
      <sz val="9"/>
      <color rgb="FF1F4E79"/>
      <name val="Calibri"/>
      <charset val="1"/>
    </font>
    <font>
      <b/>
      <sz val="12"/>
      <color rgb="FFFFFFFF"/>
      <name val="Calibri"/>
      <charset val="1"/>
    </font>
    <font>
      <sz val="10"/>
      <name val="Calibri"/>
      <charset val="1"/>
    </font>
    <font>
      <b/>
      <sz val="10"/>
      <name val="Calibri"/>
      <charset val="1"/>
    </font>
    <font>
      <b/>
      <sz val="10"/>
      <color rgb="FFC00000"/>
      <name val="Calibri"/>
      <charset val="1"/>
    </font>
    <font>
      <b/>
      <sz val="10"/>
      <color rgb="FF9C6500"/>
      <name val="Calibri"/>
      <charset val="1"/>
    </font>
    <font>
      <b/>
      <sz val="10"/>
      <color rgb="FF1F4E79"/>
      <name val="Calibri"/>
      <charset val="1"/>
    </font>
  </fonts>
  <fills count="11">
    <fill>
      <patternFill patternType="none"/>
    </fill>
    <fill>
      <patternFill patternType="gray125"/>
    </fill>
    <fill>
      <patternFill patternType="solid">
        <fgColor rgb="FF16243E"/>
        <bgColor rgb="FF1F3864"/>
      </patternFill>
    </fill>
    <fill>
      <patternFill patternType="solid">
        <fgColor rgb="FFD9E1F2"/>
        <bgColor rgb="FFDDEBF7"/>
      </patternFill>
    </fill>
    <fill>
      <patternFill patternType="solid">
        <fgColor rgb="FF1F3864"/>
        <bgColor rgb="FF1F4E79"/>
      </patternFill>
    </fill>
    <fill>
      <patternFill patternType="solid">
        <fgColor rgb="FFFFFFFF"/>
        <bgColor rgb="FFF2F6FC"/>
      </patternFill>
    </fill>
    <fill>
      <patternFill patternType="solid">
        <fgColor rgb="FFFFC7CE"/>
        <bgColor rgb="FFFCE4D6"/>
      </patternFill>
    </fill>
    <fill>
      <patternFill patternType="solid">
        <fgColor rgb="FFFCE4D6"/>
        <bgColor rgb="FFF2F6FC"/>
      </patternFill>
    </fill>
    <fill>
      <patternFill patternType="solid">
        <fgColor rgb="FFF2F6FC"/>
        <bgColor rgb="FFFFFFFF"/>
      </patternFill>
    </fill>
    <fill>
      <patternFill patternType="solid">
        <fgColor rgb="FFFFEB9C"/>
        <bgColor rgb="FFFCE4D6"/>
      </patternFill>
    </fill>
    <fill>
      <patternFill patternType="solid">
        <fgColor rgb="FFDDEBF7"/>
        <bgColor rgb="FFD9E1F2"/>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9">
    <xf numFmtId="0" fontId="0" fillId="0" borderId="0" xfId="0"/>
    <xf numFmtId="0" fontId="4" fillId="4" borderId="1" xfId="0" applyFont="1" applyFill="1" applyBorder="1" applyAlignment="1">
      <alignment horizontal="center" vertical="center" wrapText="1"/>
    </xf>
    <xf numFmtId="0" fontId="2" fillId="5" borderId="1" xfId="0" applyFont="1" applyFill="1" applyBorder="1" applyAlignment="1">
      <alignment horizontal="center" vertical="top" wrapText="1"/>
    </xf>
    <xf numFmtId="164" fontId="5" fillId="5" borderId="1" xfId="0" applyNumberFormat="1" applyFont="1" applyFill="1" applyBorder="1" applyAlignment="1">
      <alignment horizontal="center" vertical="top" wrapText="1"/>
    </xf>
    <xf numFmtId="0" fontId="5" fillId="5" borderId="1" xfId="0" applyFont="1" applyFill="1" applyBorder="1" applyAlignment="1">
      <alignment horizontal="left" vertical="top" wrapText="1"/>
    </xf>
    <xf numFmtId="0" fontId="6" fillId="6" borderId="1" xfId="0" applyFont="1" applyFill="1" applyBorder="1" applyAlignment="1">
      <alignment horizontal="center" vertical="top" wrapText="1"/>
    </xf>
    <xf numFmtId="0" fontId="5" fillId="5" borderId="1" xfId="0" applyFont="1" applyFill="1" applyBorder="1" applyAlignment="1">
      <alignment horizontal="center" vertical="top" wrapText="1"/>
    </xf>
    <xf numFmtId="0" fontId="7" fillId="7" borderId="1" xfId="0" applyFont="1" applyFill="1" applyBorder="1" applyAlignment="1">
      <alignment horizontal="center" vertical="top" wrapText="1"/>
    </xf>
    <xf numFmtId="0" fontId="2" fillId="8" borderId="1" xfId="0" applyFont="1" applyFill="1" applyBorder="1" applyAlignment="1">
      <alignment horizontal="center" vertical="top" wrapText="1"/>
    </xf>
    <xf numFmtId="164" fontId="5" fillId="8" borderId="1" xfId="0" applyNumberFormat="1" applyFont="1" applyFill="1" applyBorder="1" applyAlignment="1">
      <alignment horizontal="center" vertical="top" wrapText="1"/>
    </xf>
    <xf numFmtId="0" fontId="5" fillId="8" borderId="1" xfId="0" applyFont="1" applyFill="1" applyBorder="1" applyAlignment="1">
      <alignment horizontal="left" vertical="top" wrapText="1"/>
    </xf>
    <xf numFmtId="0" fontId="5" fillId="8" borderId="1" xfId="0" applyFont="1" applyFill="1" applyBorder="1" applyAlignment="1">
      <alignment horizontal="center" vertical="top" wrapText="1"/>
    </xf>
    <xf numFmtId="0" fontId="8" fillId="9" borderId="1" xfId="0" applyFont="1" applyFill="1" applyBorder="1" applyAlignment="1">
      <alignment horizontal="center" vertical="top" wrapText="1"/>
    </xf>
    <xf numFmtId="0" fontId="9" fillId="10" borderId="1" xfId="0" applyFont="1" applyFill="1" applyBorder="1" applyAlignment="1">
      <alignment horizontal="center" vertical="top" wrapText="1"/>
    </xf>
    <xf numFmtId="0" fontId="11" fillId="0" borderId="1" xfId="0" applyFont="1" applyBorder="1"/>
    <xf numFmtId="0" fontId="2" fillId="8" borderId="1" xfId="0" applyFont="1" applyFill="1" applyBorder="1" applyAlignment="1">
      <alignment horizontal="center"/>
    </xf>
    <xf numFmtId="0" fontId="12" fillId="0" borderId="1" xfId="0" applyFont="1" applyBorder="1"/>
    <xf numFmtId="0" fontId="13" fillId="0" borderId="1" xfId="0" applyFont="1" applyBorder="1" applyAlignment="1">
      <alignment vertical="top"/>
    </xf>
    <xf numFmtId="0" fontId="14" fillId="0" borderId="1" xfId="0" applyFont="1" applyBorder="1" applyAlignment="1">
      <alignment vertical="top"/>
    </xf>
    <xf numFmtId="0" fontId="15" fillId="0" borderId="1" xfId="0" applyFont="1" applyBorder="1" applyAlignment="1">
      <alignment vertical="top"/>
    </xf>
    <xf numFmtId="0" fontId="12" fillId="0" borderId="1" xfId="0" applyFont="1" applyBorder="1" applyAlignment="1">
      <alignment vertical="top"/>
    </xf>
    <xf numFmtId="0" fontId="1" fillId="2" borderId="0" xfId="0" applyFont="1" applyFill="1" applyAlignment="1">
      <alignment horizontal="left" vertical="center" indent="1"/>
    </xf>
    <xf numFmtId="0" fontId="0" fillId="0" borderId="0" xfId="0"/>
    <xf numFmtId="0" fontId="3" fillId="0" borderId="0" xfId="0" applyFont="1" applyAlignment="1">
      <alignment horizontal="left" vertical="center" indent="1"/>
    </xf>
    <xf numFmtId="0" fontId="2" fillId="3" borderId="0" xfId="0" applyFont="1" applyFill="1" applyAlignment="1">
      <alignment horizontal="left" vertical="center" indent="1"/>
    </xf>
    <xf numFmtId="0" fontId="10" fillId="4" borderId="0" xfId="0" applyFont="1" applyFill="1" applyAlignment="1">
      <alignment horizontal="left" vertical="center" indent="1"/>
    </xf>
    <xf numFmtId="0" fontId="11" fillId="0" borderId="2" xfId="0" applyFont="1" applyBorder="1" applyAlignment="1">
      <alignment vertical="top" wrapText="1"/>
    </xf>
    <xf numFmtId="0" fontId="0" fillId="0" borderId="3" xfId="0" applyBorder="1"/>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9C6500"/>
      <rgbColor rgb="FF800080"/>
      <rgbColor rgb="FF008080"/>
      <rgbColor rgb="FFBFBFBF"/>
      <rgbColor rgb="FF808080"/>
      <rgbColor rgb="FF9999FF"/>
      <rgbColor rgb="FF993366"/>
      <rgbColor rgb="FFF2F6F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FCE4D6"/>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833C00"/>
      <rgbColor rgb="FF993366"/>
      <rgbColor rgb="FF1F4E79"/>
      <rgbColor rgb="FF16243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
  <sheetViews>
    <sheetView showGridLines="0" tabSelected="1" zoomScaleNormal="100" workbookViewId="0">
      <pane xSplit="2" ySplit="5" topLeftCell="C6" activePane="bottomRight" state="frozen"/>
      <selection pane="topRight" activeCell="C1" sqref="C1"/>
      <selection pane="bottomLeft" activeCell="A6" sqref="A6"/>
      <selection pane="bottomRight" activeCell="A2" sqref="A2:P2"/>
    </sheetView>
  </sheetViews>
  <sheetFormatPr defaultColWidth="8.6640625" defaultRowHeight="14.4" x14ac:dyDescent="0.3"/>
  <cols>
    <col min="1" max="1" width="9" customWidth="1"/>
    <col min="2" max="2" width="12" customWidth="1"/>
    <col min="3" max="5" width="20" customWidth="1"/>
    <col min="6" max="6" width="14" customWidth="1"/>
    <col min="7" max="7" width="42" customWidth="1"/>
    <col min="8" max="8" width="30" customWidth="1"/>
    <col min="9" max="9" width="34" customWidth="1"/>
    <col min="10" max="10" width="30" customWidth="1"/>
    <col min="11" max="11" width="46" customWidth="1"/>
    <col min="12" max="12" width="18" customWidth="1"/>
    <col min="13" max="13" width="20" customWidth="1"/>
    <col min="14" max="14" width="10" customWidth="1"/>
    <col min="15" max="15" width="34" customWidth="1"/>
    <col min="16" max="16" width="13" customWidth="1"/>
  </cols>
  <sheetData>
    <row r="1" spans="1:16" ht="30" customHeight="1" x14ac:dyDescent="0.3">
      <c r="A1" s="21" t="s">
        <v>0</v>
      </c>
      <c r="B1" s="22"/>
      <c r="C1" s="22"/>
      <c r="D1" s="22"/>
      <c r="E1" s="22"/>
      <c r="F1" s="22"/>
      <c r="G1" s="22"/>
      <c r="H1" s="22"/>
      <c r="I1" s="22"/>
      <c r="J1" s="22"/>
      <c r="K1" s="22"/>
      <c r="L1" s="22"/>
      <c r="M1" s="22"/>
      <c r="N1" s="22"/>
      <c r="O1" s="22"/>
      <c r="P1" s="22"/>
    </row>
    <row r="2" spans="1:16" ht="19.5" customHeight="1" x14ac:dyDescent="0.3">
      <c r="A2" s="24" t="s">
        <v>1</v>
      </c>
      <c r="B2" s="22"/>
      <c r="C2" s="22"/>
      <c r="D2" s="22"/>
      <c r="E2" s="22"/>
      <c r="F2" s="22"/>
      <c r="G2" s="22"/>
      <c r="H2" s="22"/>
      <c r="I2" s="22"/>
      <c r="J2" s="22"/>
      <c r="K2" s="22"/>
      <c r="L2" s="22"/>
      <c r="M2" s="22"/>
      <c r="N2" s="22"/>
      <c r="O2" s="22"/>
      <c r="P2" s="22"/>
    </row>
    <row r="3" spans="1:16" ht="15.75" customHeight="1" x14ac:dyDescent="0.3">
      <c r="A3" s="23" t="s">
        <v>2</v>
      </c>
      <c r="B3" s="22"/>
      <c r="C3" s="22"/>
      <c r="D3" s="22"/>
      <c r="E3" s="22"/>
      <c r="F3" s="22"/>
      <c r="G3" s="22"/>
      <c r="H3" s="22"/>
      <c r="I3" s="22"/>
      <c r="J3" s="22"/>
      <c r="K3" s="22"/>
      <c r="L3" s="22"/>
      <c r="M3" s="22"/>
      <c r="N3" s="22"/>
      <c r="O3" s="22"/>
      <c r="P3" s="22"/>
    </row>
    <row r="4" spans="1:16" ht="6" customHeight="1" x14ac:dyDescent="0.3"/>
    <row r="5" spans="1:16" ht="30" customHeight="1" x14ac:dyDescent="0.3">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row>
    <row r="6" spans="1:16" ht="150" customHeight="1" x14ac:dyDescent="0.3">
      <c r="A6" s="2" t="s">
        <v>19</v>
      </c>
      <c r="B6" s="3">
        <v>46152</v>
      </c>
      <c r="C6" s="4" t="s">
        <v>20</v>
      </c>
      <c r="D6" s="4" t="s">
        <v>21</v>
      </c>
      <c r="E6" s="4" t="s">
        <v>22</v>
      </c>
      <c r="F6" s="5" t="s">
        <v>23</v>
      </c>
      <c r="G6" s="4" t="s">
        <v>24</v>
      </c>
      <c r="H6" s="4" t="s">
        <v>25</v>
      </c>
      <c r="I6" s="4" t="s">
        <v>26</v>
      </c>
      <c r="J6" s="4" t="s">
        <v>27</v>
      </c>
      <c r="K6" s="4" t="s">
        <v>28</v>
      </c>
      <c r="L6" s="4" t="s">
        <v>29</v>
      </c>
      <c r="M6" s="6" t="s">
        <v>30</v>
      </c>
      <c r="N6" s="7" t="s">
        <v>31</v>
      </c>
      <c r="O6" s="4" t="s">
        <v>32</v>
      </c>
      <c r="P6" s="3"/>
    </row>
    <row r="7" spans="1:16" ht="150" customHeight="1" x14ac:dyDescent="0.3">
      <c r="A7" s="8" t="s">
        <v>33</v>
      </c>
      <c r="B7" s="9">
        <v>46152</v>
      </c>
      <c r="C7" s="10" t="s">
        <v>34</v>
      </c>
      <c r="D7" s="10" t="s">
        <v>35</v>
      </c>
      <c r="E7" s="10" t="s">
        <v>36</v>
      </c>
      <c r="F7" s="5" t="s">
        <v>23</v>
      </c>
      <c r="G7" s="10" t="s">
        <v>37</v>
      </c>
      <c r="H7" s="10" t="s">
        <v>38</v>
      </c>
      <c r="I7" s="10" t="s">
        <v>39</v>
      </c>
      <c r="J7" s="10" t="s">
        <v>40</v>
      </c>
      <c r="K7" s="10" t="s">
        <v>41</v>
      </c>
      <c r="L7" s="10" t="s">
        <v>42</v>
      </c>
      <c r="M7" s="11" t="s">
        <v>43</v>
      </c>
      <c r="N7" s="7" t="s">
        <v>31</v>
      </c>
      <c r="O7" s="10" t="s">
        <v>44</v>
      </c>
      <c r="P7" s="9"/>
    </row>
    <row r="8" spans="1:16" ht="150" customHeight="1" x14ac:dyDescent="0.3">
      <c r="A8" s="2" t="s">
        <v>45</v>
      </c>
      <c r="B8" s="3">
        <v>46152</v>
      </c>
      <c r="C8" s="4" t="s">
        <v>46</v>
      </c>
      <c r="D8" s="4" t="s">
        <v>47</v>
      </c>
      <c r="E8" s="4" t="s">
        <v>48</v>
      </c>
      <c r="F8" s="12" t="s">
        <v>49</v>
      </c>
      <c r="G8" s="4" t="s">
        <v>50</v>
      </c>
      <c r="H8" s="4" t="s">
        <v>51</v>
      </c>
      <c r="I8" s="4" t="s">
        <v>52</v>
      </c>
      <c r="J8" s="4" t="s">
        <v>53</v>
      </c>
      <c r="K8" s="4" t="s">
        <v>54</v>
      </c>
      <c r="L8" s="4" t="s">
        <v>55</v>
      </c>
      <c r="M8" s="6" t="s">
        <v>56</v>
      </c>
      <c r="N8" s="7" t="s">
        <v>31</v>
      </c>
      <c r="O8" s="4" t="s">
        <v>57</v>
      </c>
      <c r="P8" s="3"/>
    </row>
    <row r="9" spans="1:16" ht="150" customHeight="1" x14ac:dyDescent="0.3">
      <c r="A9" s="8" t="s">
        <v>58</v>
      </c>
      <c r="B9" s="9">
        <v>46152</v>
      </c>
      <c r="C9" s="10" t="s">
        <v>59</v>
      </c>
      <c r="D9" s="10" t="s">
        <v>60</v>
      </c>
      <c r="E9" s="10" t="s">
        <v>61</v>
      </c>
      <c r="F9" s="12" t="s">
        <v>49</v>
      </c>
      <c r="G9" s="10" t="s">
        <v>62</v>
      </c>
      <c r="H9" s="10" t="s">
        <v>63</v>
      </c>
      <c r="I9" s="10" t="s">
        <v>64</v>
      </c>
      <c r="J9" s="10" t="s">
        <v>65</v>
      </c>
      <c r="K9" s="10" t="s">
        <v>66</v>
      </c>
      <c r="L9" s="10" t="s">
        <v>67</v>
      </c>
      <c r="M9" s="11" t="s">
        <v>68</v>
      </c>
      <c r="N9" s="7" t="s">
        <v>31</v>
      </c>
      <c r="O9" s="10" t="s">
        <v>69</v>
      </c>
      <c r="P9" s="9"/>
    </row>
    <row r="10" spans="1:16" ht="150" customHeight="1" x14ac:dyDescent="0.3">
      <c r="A10" s="2" t="s">
        <v>70</v>
      </c>
      <c r="B10" s="3">
        <v>46152</v>
      </c>
      <c r="C10" s="4" t="s">
        <v>71</v>
      </c>
      <c r="D10" s="4" t="s">
        <v>72</v>
      </c>
      <c r="E10" s="4" t="s">
        <v>73</v>
      </c>
      <c r="F10" s="13" t="s">
        <v>74</v>
      </c>
      <c r="G10" s="4" t="s">
        <v>75</v>
      </c>
      <c r="H10" s="4" t="s">
        <v>76</v>
      </c>
      <c r="I10" s="4" t="s">
        <v>77</v>
      </c>
      <c r="J10" s="4" t="s">
        <v>78</v>
      </c>
      <c r="K10" s="4" t="s">
        <v>79</v>
      </c>
      <c r="L10" s="4" t="s">
        <v>80</v>
      </c>
      <c r="M10" s="6" t="s">
        <v>81</v>
      </c>
      <c r="N10" s="7" t="s">
        <v>31</v>
      </c>
      <c r="O10" s="4" t="s">
        <v>82</v>
      </c>
      <c r="P10" s="3"/>
    </row>
  </sheetData>
  <autoFilter ref="A5:P5" xr:uid="{00000000-0009-0000-0000-000000000000}"/>
  <mergeCells count="3">
    <mergeCell ref="A1:P1"/>
    <mergeCell ref="A3:P3"/>
    <mergeCell ref="A2:P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20"/>
  <sheetViews>
    <sheetView showGridLines="0" topLeftCell="A6" zoomScaleNormal="100" workbookViewId="0">
      <selection activeCell="K12" sqref="K12"/>
    </sheetView>
  </sheetViews>
  <sheetFormatPr defaultColWidth="8.6640625" defaultRowHeight="14.4" x14ac:dyDescent="0.3"/>
  <cols>
    <col min="1" max="1" width="2" customWidth="1"/>
    <col min="2" max="2" width="30" customWidth="1"/>
    <col min="3" max="3" width="14" customWidth="1"/>
    <col min="4" max="4" width="86" customWidth="1"/>
  </cols>
  <sheetData>
    <row r="2" spans="2:4" ht="24" customHeight="1" x14ac:dyDescent="0.3">
      <c r="B2" s="25" t="s">
        <v>83</v>
      </c>
      <c r="C2" s="22"/>
      <c r="D2" s="22"/>
    </row>
    <row r="3" spans="2:4" x14ac:dyDescent="0.3">
      <c r="B3" s="14" t="s">
        <v>84</v>
      </c>
      <c r="C3" s="15">
        <f>COUNTIF('Nonconformity Log'!F:F,"Major")</f>
        <v>2</v>
      </c>
    </row>
    <row r="4" spans="2:4" x14ac:dyDescent="0.3">
      <c r="B4" s="14" t="s">
        <v>85</v>
      </c>
      <c r="C4" s="15">
        <f>COUNTIF('Nonconformity Log'!F:F,"Minor")</f>
        <v>2</v>
      </c>
    </row>
    <row r="5" spans="2:4" x14ac:dyDescent="0.3">
      <c r="B5" s="14" t="s">
        <v>86</v>
      </c>
      <c r="C5" s="15">
        <f>COUNTIF('Nonconformity Log'!F:F,"Observation (OFI)")</f>
        <v>1</v>
      </c>
    </row>
    <row r="6" spans="2:4" x14ac:dyDescent="0.3">
      <c r="B6" s="16" t="s">
        <v>87</v>
      </c>
      <c r="C6" s="15">
        <f>COUNTA('Nonconformity Log'!A6:A100)</f>
        <v>5</v>
      </c>
    </row>
    <row r="7" spans="2:4" x14ac:dyDescent="0.3">
      <c r="B7" s="14" t="s">
        <v>31</v>
      </c>
      <c r="C7" s="15">
        <f>COUNTIF('Nonconformity Log'!N:N,"Open")</f>
        <v>5</v>
      </c>
    </row>
    <row r="8" spans="2:4" x14ac:dyDescent="0.3">
      <c r="B8" s="14" t="s">
        <v>88</v>
      </c>
      <c r="C8" s="15">
        <f>COUNTIF('Nonconformity Log'!N:N,"Closed")</f>
        <v>0</v>
      </c>
    </row>
    <row r="10" spans="2:4" ht="24" customHeight="1" x14ac:dyDescent="0.3">
      <c r="B10" s="25" t="s">
        <v>89</v>
      </c>
      <c r="C10" s="22"/>
      <c r="D10" s="22"/>
    </row>
    <row r="11" spans="2:4" ht="45.75" customHeight="1" x14ac:dyDescent="0.3">
      <c r="B11" s="17" t="s">
        <v>23</v>
      </c>
      <c r="C11" s="26" t="s">
        <v>90</v>
      </c>
      <c r="D11" s="27"/>
    </row>
    <row r="12" spans="2:4" ht="45.75" customHeight="1" x14ac:dyDescent="0.3">
      <c r="B12" s="18" t="s">
        <v>49</v>
      </c>
      <c r="C12" s="26" t="s">
        <v>91</v>
      </c>
      <c r="D12" s="27"/>
    </row>
    <row r="13" spans="2:4" ht="45.75" customHeight="1" x14ac:dyDescent="0.3">
      <c r="B13" s="19" t="s">
        <v>74</v>
      </c>
      <c r="C13" s="26" t="s">
        <v>92</v>
      </c>
      <c r="D13" s="27"/>
    </row>
    <row r="15" spans="2:4" ht="24" customHeight="1" x14ac:dyDescent="0.3">
      <c r="B15" s="25" t="s">
        <v>93</v>
      </c>
      <c r="C15" s="22"/>
      <c r="D15" s="22"/>
    </row>
    <row r="16" spans="2:4" ht="30" customHeight="1" x14ac:dyDescent="0.3">
      <c r="B16" s="20" t="s">
        <v>31</v>
      </c>
      <c r="C16" s="26" t="s">
        <v>94</v>
      </c>
      <c r="D16" s="27"/>
    </row>
    <row r="17" spans="2:4" ht="30" customHeight="1" x14ac:dyDescent="0.3">
      <c r="B17" s="20" t="s">
        <v>95</v>
      </c>
      <c r="C17" s="26" t="s">
        <v>96</v>
      </c>
      <c r="D17" s="27"/>
    </row>
    <row r="18" spans="2:4" ht="30" customHeight="1" x14ac:dyDescent="0.3">
      <c r="B18" s="20" t="s">
        <v>88</v>
      </c>
      <c r="C18" s="26" t="s">
        <v>97</v>
      </c>
      <c r="D18" s="27"/>
    </row>
    <row r="20" spans="2:4" ht="43.5" customHeight="1" x14ac:dyDescent="0.3">
      <c r="B20" s="28" t="s">
        <v>98</v>
      </c>
      <c r="C20" s="22"/>
      <c r="D20" s="22"/>
    </row>
  </sheetData>
  <mergeCells count="10">
    <mergeCell ref="C18:D18"/>
    <mergeCell ref="B15:D15"/>
    <mergeCell ref="C17:D17"/>
    <mergeCell ref="B2:D2"/>
    <mergeCell ref="B20:D20"/>
    <mergeCell ref="B10:D10"/>
    <mergeCell ref="C12:D12"/>
    <mergeCell ref="C16:D16"/>
    <mergeCell ref="C11:D11"/>
    <mergeCell ref="C13:D1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Nonconformity Log</vt:lpstr>
      <vt:lpstr>Key &amp;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Kelvin Guzman</cp:lastModifiedBy>
  <cp:revision>0</cp:revision>
  <dcterms:created xsi:type="dcterms:W3CDTF">2026-06-15T23:52:04Z</dcterms:created>
  <dcterms:modified xsi:type="dcterms:W3CDTF">2026-06-21T17:04:02Z</dcterms:modified>
  <dc:language>en-US</dc:language>
</cp:coreProperties>
</file>