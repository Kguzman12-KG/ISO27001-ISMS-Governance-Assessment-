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og32\OneDrive\ISO27001\"/>
    </mc:Choice>
  </mc:AlternateContent>
  <xr:revisionPtr revIDLastSave="0" documentId="8_{8B022E81-F5D3-4DA9-80CA-A5D423B02A1B}" xr6:coauthVersionLast="47" xr6:coauthVersionMax="47" xr10:uidLastSave="{00000000-0000-0000-0000-000000000000}"/>
  <bookViews>
    <workbookView xWindow="-108" yWindow="-108" windowWidth="23256" windowHeight="12456" tabRatio="500" firstSheet="1" activeTab="4" xr2:uid="{00000000-000D-0000-FFFF-FFFF00000000}"/>
  </bookViews>
  <sheets>
    <sheet name="Cover" sheetId="1" r:id="rId1"/>
    <sheet name="Risk Criteria" sheetId="2" r:id="rId2"/>
    <sheet name="Asset Register" sheetId="3" r:id="rId3"/>
    <sheet name="Risk Assessment" sheetId="4" r:id="rId4"/>
    <sheet name="Statement of Applicability"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12" i="4" l="1"/>
  <c r="O12" i="4"/>
  <c r="I12" i="4"/>
  <c r="J12" i="4" s="1"/>
  <c r="P11" i="4"/>
  <c r="O11" i="4"/>
  <c r="I11" i="4"/>
  <c r="J11" i="4" s="1"/>
  <c r="P10" i="4"/>
  <c r="O10" i="4"/>
  <c r="J10" i="4"/>
  <c r="I10" i="4"/>
  <c r="P9" i="4"/>
  <c r="O9" i="4"/>
  <c r="J9" i="4"/>
  <c r="I9" i="4"/>
  <c r="P8" i="4"/>
  <c r="O8" i="4"/>
  <c r="J8" i="4"/>
  <c r="I8" i="4"/>
  <c r="P7" i="4"/>
  <c r="O7" i="4"/>
  <c r="J7" i="4"/>
  <c r="I7" i="4"/>
  <c r="P6" i="4"/>
  <c r="O6" i="4"/>
  <c r="J6" i="4"/>
  <c r="I6" i="4"/>
  <c r="P5" i="4"/>
  <c r="O5" i="4"/>
  <c r="J5" i="4"/>
  <c r="I5" i="4"/>
</calcChain>
</file>

<file path=xl/sharedStrings.xml><?xml version="1.0" encoding="utf-8"?>
<sst xmlns="http://schemas.openxmlformats.org/spreadsheetml/2006/main" count="861" uniqueCount="614">
  <si>
    <t>NORTHGATE UNIVERSITY</t>
  </si>
  <si>
    <t>Statement of Applicability &amp; Information Security Risk Assessment</t>
  </si>
  <si>
    <t>ISO/IEC 27001:2022 — Annex A</t>
  </si>
  <si>
    <t>Document</t>
  </si>
  <si>
    <t>Statement of Applicability (SoA) &amp; Risk Assessment</t>
  </si>
  <si>
    <t>Standard</t>
  </si>
  <si>
    <t>ISO/IEC 27001:2022 (Annex A — 93 controls)</t>
  </si>
  <si>
    <t>Organisation</t>
  </si>
  <si>
    <t>Northgate University (fictional, for portfolio purposes)</t>
  </si>
  <si>
    <t>Prepared by</t>
  </si>
  <si>
    <t>Kelvin Guzman</t>
  </si>
  <si>
    <t>Assessment date</t>
  </si>
  <si>
    <t>10 May 2026</t>
  </si>
  <si>
    <t>Version</t>
  </si>
  <si>
    <t>1.0</t>
  </si>
  <si>
    <t>Classification</t>
  </si>
  <si>
    <t>Internal Use Only</t>
  </si>
  <si>
    <t>Contents</t>
  </si>
  <si>
    <t>• Risk Criteria — likelihood/impact scales, 5×5 risk matrix, classification scheme</t>
  </si>
  <si>
    <t>• Asset Register — in-scope information assets, owners and CIA ratings</t>
  </si>
  <si>
    <t>• Risk Assessment — risk register with inherent/residual scoring and treatment</t>
  </si>
  <si>
    <t>• Statement of Applicability — applicability and implementation status of all 93 Annex A controls</t>
  </si>
  <si>
    <t>This Statement of Applicability and Risk Assessment accompany a tabletop ISO/IEC 27001 assessment prepared for portfolio and demonstration purposes. Northgate University is a fictional organisation; all assets, risks, owners and findings are illustrative. Controls marked “Implemented (Documented)” reflect design-level evidence (policy reviewed) only, not operational verification. Implementation status aligns with the Control Evidence Tracker and the Nonconformity Log for the same engagement.</t>
  </si>
  <si>
    <t>Risk Assessment Criteria</t>
  </si>
  <si>
    <t>Risk Score = Likelihood × Impact   |   Bands: Low 1–6, Medium 7–12, High 13–25</t>
  </si>
  <si>
    <t>Likelihood Scale</t>
  </si>
  <si>
    <t>Risk Matrix (Score = L × I)</t>
  </si>
  <si>
    <t>Score</t>
  </si>
  <si>
    <t>Definition</t>
  </si>
  <si>
    <t>Impact ↓ / Likelihood →</t>
  </si>
  <si>
    <t>1 – Rare</t>
  </si>
  <si>
    <t>May occur only in exceptional circumstances</t>
  </si>
  <si>
    <t>2 – Unlikely</t>
  </si>
  <si>
    <t>Not expected to occur under normal conditions</t>
  </si>
  <si>
    <t>3 – Possible</t>
  </si>
  <si>
    <t>Might occur at some time</t>
  </si>
  <si>
    <t>4 – Likely</t>
  </si>
  <si>
    <t>Will probably occur in most circumstances</t>
  </si>
  <si>
    <t>5 – Almost Certain</t>
  </si>
  <si>
    <t>Expected to occur frequently or regularly</t>
  </si>
  <si>
    <t>Impact Scale</t>
  </si>
  <si>
    <t>Key:</t>
  </si>
  <si>
    <t>Low (1–6)</t>
  </si>
  <si>
    <t>Medium (7–12)</t>
  </si>
  <si>
    <t>High (13–25)</t>
  </si>
  <si>
    <t>1 – Negligible</t>
  </si>
  <si>
    <t>No significant damage to operations or reputation</t>
  </si>
  <si>
    <t>Information Classification Scheme</t>
  </si>
  <si>
    <t>2 – Minor</t>
  </si>
  <si>
    <t>Small disruptions, minor financial or reputational impact</t>
  </si>
  <si>
    <t>Description</t>
  </si>
  <si>
    <t>3 – Moderate</t>
  </si>
  <si>
    <t>Noticeable effect on operations, requires management attention</t>
  </si>
  <si>
    <t>Confidential</t>
  </si>
  <si>
    <t>Highly sensitive; restricted to named authorised personnel (e.g., student/staff PII, sensitive research)</t>
  </si>
  <si>
    <t>4 – Major</t>
  </si>
  <si>
    <t>Serious business disruption, financial loss, or compliance issue</t>
  </si>
  <si>
    <t>Restricted</t>
  </si>
  <si>
    <t>Limited access for defined operational groups (e.g., finance, IAM, corporate systems)</t>
  </si>
  <si>
    <t>5 – Severe</t>
  </si>
  <si>
    <t>Critical damage to business, possible legal/regulatory breach</t>
  </si>
  <si>
    <t>General staff/student access; not for public release</t>
  </si>
  <si>
    <t>Public</t>
  </si>
  <si>
    <t>Approved for public release</t>
  </si>
  <si>
    <t>Risk Rating Bands</t>
  </si>
  <si>
    <t>Risk Score</t>
  </si>
  <si>
    <t>Risk Level</t>
  </si>
  <si>
    <t>Action</t>
  </si>
  <si>
    <t>1–6</t>
  </si>
  <si>
    <t>Low</t>
  </si>
  <si>
    <t>Acceptable risk — monitor</t>
  </si>
  <si>
    <t>7–12</t>
  </si>
  <si>
    <t>Medium</t>
  </si>
  <si>
    <t>Needs mitigation or documented justification</t>
  </si>
  <si>
    <t>13–25</t>
  </si>
  <si>
    <t>High</t>
  </si>
  <si>
    <t>Unacceptable — treatment required</t>
  </si>
  <si>
    <t>Treatment Options</t>
  </si>
  <si>
    <t>Option</t>
  </si>
  <si>
    <t>Meaning</t>
  </si>
  <si>
    <t>Mitigate</t>
  </si>
  <si>
    <t>Apply controls to reduce likelihood and/or impact</t>
  </si>
  <si>
    <t>Accept</t>
  </si>
  <si>
    <t>Retain the risk where it is within appetite, with documented justification</t>
  </si>
  <si>
    <t>Transfer</t>
  </si>
  <si>
    <t>Share the risk (e.g., insurance, contractual transfer to a supplier)</t>
  </si>
  <si>
    <t>Avoid</t>
  </si>
  <si>
    <t>Eliminate the risk by discontinuing the activity</t>
  </si>
  <si>
    <t>Asset Register — Northgate University</t>
  </si>
  <si>
    <t>Asset ID</t>
  </si>
  <si>
    <t>Asset Name</t>
  </si>
  <si>
    <t>Type</t>
  </si>
  <si>
    <t>Owner (Role / IAO)</t>
  </si>
  <si>
    <t>Location</t>
  </si>
  <si>
    <t>Business Process</t>
  </si>
  <si>
    <t>Confidentiality</t>
  </si>
  <si>
    <t>Integrity</t>
  </si>
  <si>
    <t>Availability</t>
  </si>
  <si>
    <t>Threats</t>
  </si>
  <si>
    <t>Vulnerabilities</t>
  </si>
  <si>
    <t>A01</t>
  </si>
  <si>
    <t>Student Records System</t>
  </si>
  <si>
    <t>Information Asset</t>
  </si>
  <si>
    <t>Head of Student Records (IAO)</t>
  </si>
  <si>
    <t>On-prem / Private Cloud</t>
  </si>
  <si>
    <t>Student administration &amp; records</t>
  </si>
  <si>
    <t>Unauthorised access, data breach, insider misuse</t>
  </si>
  <si>
    <t>Excessive access rights, weak authentication, unpatched system</t>
  </si>
  <si>
    <t>A02</t>
  </si>
  <si>
    <t>Research Data Repository</t>
  </si>
  <si>
    <t>Director of Research (IAO)</t>
  </si>
  <si>
    <t>Institutional Data Centre / Cloud</t>
  </si>
  <si>
    <t>Research data management</t>
  </si>
  <si>
    <t>Data exfiltration, IP theft, ransomware</t>
  </si>
  <si>
    <t>Inconsistent classification, weak access controls</t>
  </si>
  <si>
    <t>A03</t>
  </si>
  <si>
    <t>Virtual Learning Environment (VLE)</t>
  </si>
  <si>
    <t>Head of Digital Learning (IAO)</t>
  </si>
  <si>
    <t>Cloud (vendor-hosted)</t>
  </si>
  <si>
    <t>Teaching &amp; learning delivery</t>
  </si>
  <si>
    <t>Account compromise, defacement, denial of service</t>
  </si>
  <si>
    <t>Weak authentication, third-party dependency</t>
  </si>
  <si>
    <t>A04</t>
  </si>
  <si>
    <t>Finance &amp; HR System</t>
  </si>
  <si>
    <t>Director of Finance (IAO)</t>
  </si>
  <si>
    <t>Payroll, finance &amp; HR processing</t>
  </si>
  <si>
    <t>Fraud, data breach, privilege abuse</t>
  </si>
  <si>
    <t>Segregation-of-duties gaps, excessive privilege</t>
  </si>
  <si>
    <t>A05</t>
  </si>
  <si>
    <t>Microsoft 365 (Email &amp; Collaboration)</t>
  </si>
  <si>
    <t>Head of IT Operations (IAO)</t>
  </si>
  <si>
    <t>Cloud (Microsoft 365)</t>
  </si>
  <si>
    <t>Corporate communication &amp; collaboration</t>
  </si>
  <si>
    <t>Phishing, account takeover, data leakage</t>
  </si>
  <si>
    <t>MFA not enforced, weak conditional access</t>
  </si>
  <si>
    <t>A06</t>
  </si>
  <si>
    <t>Identity &amp; Access Management (Entra ID / AD)</t>
  </si>
  <si>
    <t>Technical Asset</t>
  </si>
  <si>
    <t>Head of IT Operations / IAM Lead</t>
  </si>
  <si>
    <t>Hybrid (Cloud / On-prem)</t>
  </si>
  <si>
    <t>Authentication &amp; authorisation</t>
  </si>
  <si>
    <t>Credential theft, privilege escalation</t>
  </si>
  <si>
    <t>MFA not enforced, stale/dormant accounts</t>
  </si>
  <si>
    <t>A07</t>
  </si>
  <si>
    <t>Staff &amp; Student Endpoint Devices</t>
  </si>
  <si>
    <t>Physical Asset</t>
  </si>
  <si>
    <t>Distributed / Remote</t>
  </si>
  <si>
    <t>Remote &amp; on-campus working</t>
  </si>
  <si>
    <t>Malware, loss/theft, unmanaged devices</t>
  </si>
  <si>
    <t>No endpoint-compliance checks, unencrypted devices</t>
  </si>
  <si>
    <t>Risk Assessment / Risk Register — Northgate University</t>
  </si>
  <si>
    <t>Inherent risk scored prior to remediation; residual risk reflects the target state once proposed controls are implemented and validated.</t>
  </si>
  <si>
    <t>Risk ID</t>
  </si>
  <si>
    <t>Asset</t>
  </si>
  <si>
    <t>Risk Description</t>
  </si>
  <si>
    <t>Likelihood</t>
  </si>
  <si>
    <t>Impact</t>
  </si>
  <si>
    <t>Treatment Option</t>
  </si>
  <si>
    <t>Proposed Controls (Annex A 2022 + NGU policy)</t>
  </si>
  <si>
    <t>Residual Likelihood</t>
  </si>
  <si>
    <t>Residual Impact</t>
  </si>
  <si>
    <t>Residual Score</t>
  </si>
  <si>
    <t>Residual Level</t>
  </si>
  <si>
    <t>Risk Owner</t>
  </si>
  <si>
    <t>Status</t>
  </si>
  <si>
    <t>R01</t>
  </si>
  <si>
    <t>Identity &amp; Access Management</t>
  </si>
  <si>
    <t>Unauthorised remote access due to absence of enforced MFA and endpoint compliance</t>
  </si>
  <si>
    <t>Credential theft, account takeover</t>
  </si>
  <si>
    <t>MFA not enforced, no device compliance</t>
  </si>
  <si>
    <t>A.8.5 / A.5.17 / A.6.7 — enforce MFA (Access Control Policy NGU-POL-9.1); endpoint compliance &amp; VPN (Remote Working Policy NGU-POL-6.2); route logs to SIEM</t>
  </si>
  <si>
    <t>Head of IT Operations</t>
  </si>
  <si>
    <t>Treatment in progress (Finding F1 / NC-001)</t>
  </si>
  <si>
    <t>R02</t>
  </si>
  <si>
    <t>A01–A07</t>
  </si>
  <si>
    <t>Information assets (multiple)</t>
  </si>
  <si>
    <t>Critical assets unclassified or without active owner accountability</t>
  </si>
  <si>
    <t>Insider misuse, mismanagement</t>
  </si>
  <si>
    <t>Inconsistent classification, no asset-level risk assessments</t>
  </si>
  <si>
    <t>A.5.9 / A.5.10 / A.5.12 — IAO accountability &amp; asset register (Asset Owners Handbook NGU-POL-8.1); classification (Information Classification Policy NGU-POL-8.2)</t>
  </si>
  <si>
    <t>Information Security Manager</t>
  </si>
  <si>
    <t>Open (Finding F2 / NC-002)</t>
  </si>
  <si>
    <t>R03</t>
  </si>
  <si>
    <t>Breach of student/staff personal data (UK GDPR)</t>
  </si>
  <si>
    <t>Unauthorised access, exfiltration</t>
  </si>
  <si>
    <t>Excessive access, weak authentication</t>
  </si>
  <si>
    <t>A.5.34 / A.8.3 / A.8.24 — access restriction &amp; encryption (Access Control NGU-POL-9.1, Cryptographic Policy NGU-POL-10.1); PII handling (Classification NGU-POL-8.2)</t>
  </si>
  <si>
    <t>Data Protection Officer</t>
  </si>
  <si>
    <t>Open</t>
  </si>
  <si>
    <t>R04</t>
  </si>
  <si>
    <t>A05/A06</t>
  </si>
  <si>
    <t>M365 / IAM</t>
  </si>
  <si>
    <t>Control failure or breach goes undetected due to no monitoring or log review</t>
  </si>
  <si>
    <t>Undetected compromise</t>
  </si>
  <si>
    <t>No log review, no KRIs/KCIs</t>
  </si>
  <si>
    <t>A.8.15 / A.8.16 / A.5.25 — centralised logging &amp; monitoring, KRIs/KCIs (Incident Management Policy NGU-POL-16.1)</t>
  </si>
  <si>
    <t>Open (Finding F4 / NC-004)</t>
  </si>
  <si>
    <t>R05</t>
  </si>
  <si>
    <t>ISMS risk register</t>
  </si>
  <si>
    <t>Risks left unmanaged because the risk register is not operationalised</t>
  </si>
  <si>
    <t>Unmanaged risk accumulation</t>
  </si>
  <si>
    <t>No risk-register owner, no review cycle</t>
  </si>
  <si>
    <t>Clause 6.1 / Clause 8 — risk-register ownership &amp; quarterly review (Risk Management Policy NGU-POL-IRM01, Methodology NGU-POL-4.1)</t>
  </si>
  <si>
    <t>Information Security Risk Manager</t>
  </si>
  <si>
    <t>Open (Finding F3 / NC-003)</t>
  </si>
  <si>
    <t>R06</t>
  </si>
  <si>
    <t>Microsoft 365 / Cloud services</t>
  </si>
  <si>
    <t>Data exposure through cloud/third-party services without security assurance</t>
  </si>
  <si>
    <t>Misconfiguration, supplier breach</t>
  </si>
  <si>
    <t>No cloud security baseline, weak supplier assurance</t>
  </si>
  <si>
    <t>A.5.19 / A.5.23 — supplier due diligence (Supplier Security Policy NGU-POL-15.1); cloud security baseline (2022 transition gap)</t>
  </si>
  <si>
    <t>Procurement / Vendor Management</t>
  </si>
  <si>
    <t>R07</t>
  </si>
  <si>
    <t>Staff &amp; Student Endpoints</t>
  </si>
  <si>
    <t>Ransomware/malware compromise of endpoints and connected systems</t>
  </si>
  <si>
    <t>Ransomware, phishing</t>
  </si>
  <si>
    <t>No endpoint-protection validation, unpatched devices</t>
  </si>
  <si>
    <t>A.8.7 / A.8.8 / A.8.1 — anti-malware, vulnerability &amp; patch management, endpoint protection (Remote Working NGU-POL-6.2, Acceptable Use NGU-POL-8.1.3)</t>
  </si>
  <si>
    <t>R08</t>
  </si>
  <si>
    <t>Personal data retained beyond need / no secure deletion (UK GDPR Art.17)</t>
  </si>
  <si>
    <t>Regulatory non-compliance</t>
  </si>
  <si>
    <t>No deletion/retention schedule</t>
  </si>
  <si>
    <t>A.8.10 / A.5.34 / A.5.12 — secure deletion &amp; retention (Information Classification Policy NGU-POL-8.2 update; 2022 transition gap)</t>
  </si>
  <si>
    <t>Statement of Applicability — ISO/IEC 27001:2022 Annex A</t>
  </si>
  <si>
    <t>All 93 Annex A controls assessed for applicability. “In Scope = Yes” means the control is applicable; Implementation Status reflects the documentation-level assessment (aligned with the Control Evidence Tracker).</t>
  </si>
  <si>
    <t>Clause</t>
  </si>
  <si>
    <t>Theme</t>
  </si>
  <si>
    <t>Control</t>
  </si>
  <si>
    <t>Control Title</t>
  </si>
  <si>
    <t>Control Description</t>
  </si>
  <si>
    <t>In Scope</t>
  </si>
  <si>
    <t>Justification (applicability)</t>
  </si>
  <si>
    <t>Implementation Status</t>
  </si>
  <si>
    <t>Organisational Controls</t>
  </si>
  <si>
    <t>5.1</t>
  </si>
  <si>
    <t>Policies for information security</t>
  </si>
  <si>
    <t>Information security policy and topic-specific policies shall be defined, approved by management, published, communicated to and acknowledged by relevant personnel and relevant interested parties, and reviewed at planned intervals and if significant changes occur.</t>
  </si>
  <si>
    <t>Yes</t>
  </si>
  <si>
    <t>Apex Information Security Policy (NGU-POL-5.1), management-approved and reviewed at planned intervals.</t>
  </si>
  <si>
    <t>Implemented (Documented)</t>
  </si>
  <si>
    <t>5.2</t>
  </si>
  <si>
    <t>Information security roles and responsibilities</t>
  </si>
  <si>
    <t>Information security roles and responsibilities shall be defined and allocated according to the organisation needs.</t>
  </si>
  <si>
    <t>Security roles incl. Information Asset Owners defined in the Information Security Policy (NGU-POL-5.1) and Asset Owners Handbook (NGU-POL-8.1).</t>
  </si>
  <si>
    <t>5.3</t>
  </si>
  <si>
    <t>Segregation of duties</t>
  </si>
  <si>
    <t>Conflicting duties and conflicting areas of responsibility shall be segregated.</t>
  </si>
  <si>
    <t>Segregation of duties not set out in a dedicated policy; requires role/records verification.</t>
  </si>
  <si>
    <t>Not Assessed</t>
  </si>
  <si>
    <t>5.4</t>
  </si>
  <si>
    <t>Management responsibilities</t>
  </si>
  <si>
    <t>Management shall require all personnel to apply information security in accordance with the established information security policy, topic-specific policies and procedures of the organisation.</t>
  </si>
  <si>
    <t>Management responsibilities set out in the Information Security Policy (NGU-POL-5.1).</t>
  </si>
  <si>
    <t>5.5</t>
  </si>
  <si>
    <t>Contact with authorities</t>
  </si>
  <si>
    <t>The organisation shall establish and maintain contact with relevant authorities.</t>
  </si>
  <si>
    <t>Authority contact (e.g., ICO) referenced in the Incident Management Policy (NGU-POL-16.1); standing contact list to be formalised.</t>
  </si>
  <si>
    <t>Partially Implemented</t>
  </si>
  <si>
    <t>5.6</t>
  </si>
  <si>
    <t>Contact with special interest groups</t>
  </si>
  <si>
    <t>The organisation shall establish and maintain contact with special interest groups or other specialist security forums and professional associations.</t>
  </si>
  <si>
    <t>Engagement with special-interest security groups not evidenced in documentation.</t>
  </si>
  <si>
    <t>5.7</t>
  </si>
  <si>
    <t>Threat intelligence</t>
  </si>
  <si>
    <t>Information relating to information security threats shall be collected and analysed to produce threat intelligence.</t>
  </si>
  <si>
    <t>No threat-intelligence function evidenced; relevant to research-data exposure (2022 transition item).</t>
  </si>
  <si>
    <t>5.8</t>
  </si>
  <si>
    <t>Information security in project management</t>
  </si>
  <si>
    <t>Information security shall be integrated into project management.</t>
  </si>
  <si>
    <t>Information security in project management not evidenced; to be embedded in project governance.</t>
  </si>
  <si>
    <t>5.9</t>
  </si>
  <si>
    <t>Inventory of information and other associated assets</t>
  </si>
  <si>
    <t>An inventory of information and other associated assets, including owners, shall be developed and maintained</t>
  </si>
  <si>
    <t>Asset inventory governed by the Asset Owners Handbook (NGU-POL-8.1); maintained registers not yet evidenced (NC-002, R02).</t>
  </si>
  <si>
    <t>5.10</t>
  </si>
  <si>
    <t>Acceptable use of information and other associated assets</t>
  </si>
  <si>
    <t>Rules for the acceptable use and procedures for handling information and other associated assets shall be identified, documented and implemented.</t>
  </si>
  <si>
    <t>Acceptable use defined in the Acceptable Use Policy (NGU-POL-8.1.3) and Asset Owners Handbook (NGU-POL-8.1).</t>
  </si>
  <si>
    <t>5.11</t>
  </si>
  <si>
    <t>Return of assets</t>
  </si>
  <si>
    <t>Personnel and other interested parties as appropriate shall return all the organisation’s assets in their possession upon change or termination of their employment, contract or agreement.</t>
  </si>
  <si>
    <t>Return of assets is an HR/offboarding process; not covered by reviewed policies.</t>
  </si>
  <si>
    <t>5.12</t>
  </si>
  <si>
    <t>Classification of information</t>
  </si>
  <si>
    <t>Information shall be classified according to the information security needs of the organisation based on confidentiality, integrity, availability and relevant interested party requirements.</t>
  </si>
  <si>
    <t>Four-tier scheme (Public/Internal Use Only/Restricted/Confidential) in the Information Classification Policy (NGU-POL-8.2).</t>
  </si>
  <si>
    <t>5.13</t>
  </si>
  <si>
    <t>Labelling of information</t>
  </si>
  <si>
    <t>An appropriate set of procedures for information labelling shall be developed and implemented in accordance with the information classification scheme adopted by the organisation.</t>
  </si>
  <si>
    <t>Labelling rules defined in the Information Classification Policy (NGU-POL-8.2).</t>
  </si>
  <si>
    <t>5.14</t>
  </si>
  <si>
    <t>Information transfer</t>
  </si>
  <si>
    <t>Information transfer rules, procedures, or agreements shall be in place for all types of transfer facilities within the organisation and between the organisation and other parties.</t>
  </si>
  <si>
    <t>Information transfer partly covered by the Information Classification Policy (NGU-POL-8.2); dedicated transfer agreements to be formalised.</t>
  </si>
  <si>
    <t>5.15</t>
  </si>
  <si>
    <t>Access control</t>
  </si>
  <si>
    <t>Rules to control physical and logical access to information and other associated assets shall be established and implemented based on business and information security requirements.</t>
  </si>
  <si>
    <t>Access principles defined in the Access Control Policy (NGU-POL-9.1); supports treatment of R01.</t>
  </si>
  <si>
    <t>5.16</t>
  </si>
  <si>
    <t>Identity management</t>
  </si>
  <si>
    <t>The full life cycle of identities shall be managed.</t>
  </si>
  <si>
    <t>Identity lifecycle defined in the Access Control Policy (NGU-POL-9.1).</t>
  </si>
  <si>
    <t>5.17</t>
  </si>
  <si>
    <t>Authentication information</t>
  </si>
  <si>
    <t>Allocation and management of authentication information shall be controlled by a management process, including advising personnel on appropriate handling of authentication information.</t>
  </si>
  <si>
    <t>Authentication standards incl. MFA defined in the Access Control Policy (NGU-POL-9.1); enforcement gap tracked in NC-001.</t>
  </si>
  <si>
    <t>5.18</t>
  </si>
  <si>
    <t>Access rights</t>
  </si>
  <si>
    <t>Access rights to information and other associated assets shall be provisioned, reviewed, modified and removed in accordance with the organisation’s topic-specific policy on and rules for access control.</t>
  </si>
  <si>
    <t>Access-rights provisioning, review and removal defined in the Access Control Policy (NGU-POL-9.1).</t>
  </si>
  <si>
    <t>5.19</t>
  </si>
  <si>
    <t>Information security in supplier relationships</t>
  </si>
  <si>
    <t>Processes and procedures shall be defined and implemented to manage the information security risks associated with the use of supplier’s products or services.</t>
  </si>
  <si>
    <t>Supplier risk management defined in the Supplier Security Policy (NGU-POL-15.1).</t>
  </si>
  <si>
    <t>5.20</t>
  </si>
  <si>
    <t>Addressing information security within supplier agreements</t>
  </si>
  <si>
    <t>Relevant information security requirements shall be established and agreed with each supplier based on the type of supplier relationship.</t>
  </si>
  <si>
    <t>Supplier-agreement security requirements defined in the Supplier Security Policy (NGU-POL-15.1).</t>
  </si>
  <si>
    <t>5.21</t>
  </si>
  <si>
    <t>Managing information security in the information and communication technology (ICT) supply chain</t>
  </si>
  <si>
    <t>Processes and procedures shall be defined and implemented to manage the information security risks associated with the ICT products and services supply chain.</t>
  </si>
  <si>
    <t>ICT supply-chain risk partly covered by the Supplier Security Policy (NGU-POL-15.1); deeper supply-chain assurance to be formalised.</t>
  </si>
  <si>
    <t>5.22</t>
  </si>
  <si>
    <t>Monitoring, review and change management of supplier services</t>
  </si>
  <si>
    <t>The organisation shall regularly monitor, review, evaluate and manage change in supplier information security practices and service delivery.</t>
  </si>
  <si>
    <t>Ongoing supplier monitoring and review defined in the Supplier Security Policy (NGU-POL-15.1).</t>
  </si>
  <si>
    <t>5.23</t>
  </si>
  <si>
    <t>Information security for use of cloud services</t>
  </si>
  <si>
    <t>Processes for acquisition, use, management and exit from cloud services shall be established in accordance with the organisation’s information security requirements.</t>
  </si>
  <si>
    <t>No cloud-services security baseline; high-priority 2022 transition gap (supports R06).</t>
  </si>
  <si>
    <t>Gap — Not Addressed</t>
  </si>
  <si>
    <t>5.24</t>
  </si>
  <si>
    <t>Information security incident management planning and preparation</t>
  </si>
  <si>
    <t>The organisation shall plan and prepare for managing information security incidents by defining, establishing and communicating information security incident management processes, roles and responsibilities.</t>
  </si>
  <si>
    <t>Incident-management process defined in the Incident Management Policy (NGU-POL-16.1).</t>
  </si>
  <si>
    <t>5.25</t>
  </si>
  <si>
    <t>Assessment and decision on information security events</t>
  </si>
  <si>
    <t>The organisation shall assess information security events and decide if they are to be categorised as information security incidents.</t>
  </si>
  <si>
    <t>Event assessment and triage defined in the Incident Management Policy (NGU-POL-16.1).</t>
  </si>
  <si>
    <t>5.26</t>
  </si>
  <si>
    <t>Response to information security incidents</t>
  </si>
  <si>
    <t>Information security incidents shall be responded to in accordance with the documented procedures.</t>
  </si>
  <si>
    <t>Incident response lifecycle defined in the Incident Management Policy (NGU-POL-16.1).</t>
  </si>
  <si>
    <t>5.27</t>
  </si>
  <si>
    <t>Learning from information security incidents</t>
  </si>
  <si>
    <t>Knowledge gained from information security incidents shall be used to strengthen and improve the information security controls.</t>
  </si>
  <si>
    <t>Lessons-learned process defined in the Incident Management Policy (NGU-POL-16.1).</t>
  </si>
  <si>
    <t>5.28</t>
  </si>
  <si>
    <t>Collection of evidence</t>
  </si>
  <si>
    <t>The organisation shall establish and implement procedures for the identification, collection, acquisition and preservation of evidence related to information security events.</t>
  </si>
  <si>
    <t>Evidence collection and preservation defined in the Incident Management Policy (NGU-POL-16.1).</t>
  </si>
  <si>
    <t>5.29</t>
  </si>
  <si>
    <t>Information security during disruption</t>
  </si>
  <si>
    <t>The organisation shall plan how to maintain information security at an appropriate level during disruption.</t>
  </si>
  <si>
    <t>Information security during disruption not addressed; flag for next assessment.</t>
  </si>
  <si>
    <t>5.30</t>
  </si>
  <si>
    <t>ICT readiness for business continuity</t>
  </si>
  <si>
    <t>ICT readiness shall be planned, implemented, maintained and tested based on business continuity objectives and ICT continuity requirements.</t>
  </si>
  <si>
    <t>ICT readiness for business continuity not covered; 2022 transition gap.</t>
  </si>
  <si>
    <t>5.31</t>
  </si>
  <si>
    <t>Legal, statutory, regulatory and contractual requirements</t>
  </si>
  <si>
    <t>Legal, statutory, regulatory and contractual requirements relevant to information security and the organisation’s approach to meet these requirements shall be identified, documented and kept up to date.</t>
  </si>
  <si>
    <t>Legal/regulatory (UK GDPR) obligations referenced across policies; consolidated legal register to be maintained.</t>
  </si>
  <si>
    <t>5.32</t>
  </si>
  <si>
    <t>Intellectual property rights</t>
  </si>
  <si>
    <t>The organisation shall implement appropriate procedures to protect intellectual property rights.</t>
  </si>
  <si>
    <t>IP rights referenced via classification and acceptable use; University IP procedures to be cross-referenced.</t>
  </si>
  <si>
    <t>5.33</t>
  </si>
  <si>
    <t>Protection of records</t>
  </si>
  <si>
    <t>Records shall be protected from loss, destruction, falsification, unauthorised access and unauthorised release.</t>
  </si>
  <si>
    <t>Record protection partly addressed by the Information Classification Policy (NGU-POL-8.2); retention schedule to be formalised.</t>
  </si>
  <si>
    <t>5.34</t>
  </si>
  <si>
    <t>Privacy and protection of personal identifiable information (PII)</t>
  </si>
  <si>
    <t>The organisation shall identify and meet the requirements regarding the preservation of privacy and protection of PII according to applicable laws and regulations and contractual requirements</t>
  </si>
  <si>
    <t>PII protection addressed via the Information Classification Policy (NGU-POL-8.2) and UK GDPR alignment; DPIA process to be evidenced (supports R03).</t>
  </si>
  <si>
    <t>5.35</t>
  </si>
  <si>
    <t>Independent review of information security</t>
  </si>
  <si>
    <t>The organisation’s approach to managing information security and its implementation including people, processes and technologies shall be reviewed independently at planned intervals, or when significant changes occur.</t>
  </si>
  <si>
    <t>This tabletop assessment provides an independent documentation-level review; recurring cadence to be established.</t>
  </si>
  <si>
    <t>5.36</t>
  </si>
  <si>
    <t>Compliance with policies, rules and standards for information security</t>
  </si>
  <si>
    <t>Compliance with the organisation’s information security policy, topic-specific policies, rules and standards shall be regularly reviewed.</t>
  </si>
  <si>
    <t>Compliance expectations defined in the Information Security Policy (NGU-POL-5.1); ongoing monitoring limited (NC-004).</t>
  </si>
  <si>
    <t>5.37</t>
  </si>
  <si>
    <t>Documented operating procedures</t>
  </si>
  <si>
    <t>Operating procedures for information processing facilities shall be documented and made available to personnel who need them.</t>
  </si>
  <si>
    <t>Topic-specific policies documented; detailed operating procedures to be developed.</t>
  </si>
  <si>
    <t>People Controls</t>
  </si>
  <si>
    <t>6.1</t>
  </si>
  <si>
    <t>Screening</t>
  </si>
  <si>
    <t>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t>
  </si>
  <si>
    <t>Personnel screening is an HR-records control; not in documentation scope.</t>
  </si>
  <si>
    <t>6.2</t>
  </si>
  <si>
    <t>Terms and conditions of employment</t>
  </si>
  <si>
    <t>The employment contractual agreements shall state the personnel’s and the organisation’s responsibilities for information security.</t>
  </si>
  <si>
    <t>Employment terms are an HR control; requires contract verification.</t>
  </si>
  <si>
    <t>6.3</t>
  </si>
  <si>
    <t>Information security awareness, education and training</t>
  </si>
  <si>
    <t>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t>
  </si>
  <si>
    <t>Security awareness/training not evidenced; IAO training recommended (NC-002).</t>
  </si>
  <si>
    <t>6.4</t>
  </si>
  <si>
    <t>Disciplinary process</t>
  </si>
  <si>
    <t>A disciplinary process shall be formalised and communicated to take actions against personnel and other relevant interested parties who have committed an information security policy violation</t>
  </si>
  <si>
    <t>Disciplinary process is an HR control.</t>
  </si>
  <si>
    <t>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</si>
  <si>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</si>
  <si>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</si>
  <si>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Post-employment responsibilities are an HR/IT offboarding control.</t>
  </si>
  <si>
    <t>6.6</t>
  </si>
  <si>
    <t>Confidentiality or non-disclosure agreements</t>
  </si>
  <si>
    <t>Confidentiality or non-disclosure agreements reflecting the organisation’s needs for the protection of information shall be identified, documented, regularly reviewed and signed by personnel and other relevant interested parties.</t>
  </si>
  <si>
    <t>Confidentiality/NDAs are a Legal/HR control.</t>
  </si>
  <si>
    <t>6.7</t>
  </si>
  <si>
    <t>Remote working</t>
  </si>
  <si>
    <t>Security measures shall be implemented when personnel are working remotely to protect information accessed, processed or stored outside the organisation’s premises.</t>
  </si>
  <si>
    <t>Remote working governed by the Remote Working Policy (NGU-POL-6.2); enforcement/monitoring not evidenced (NC-001, R01).</t>
  </si>
  <si>
    <t>6.8</t>
  </si>
  <si>
    <t>Information security event reporting</t>
  </si>
  <si>
    <t>The organisation shall provide a mechanism for personnel to report observed or suspected information security events through appropriate channels in a timely manner.</t>
  </si>
  <si>
    <t>Event-reporting mechanism defined in the Incident Management Policy (NGU-POL-16.1).</t>
  </si>
  <si>
    <t>Physical Controls</t>
  </si>
  <si>
    <t>7.1</t>
  </si>
  <si>
    <t>Physical security perimeters</t>
  </si>
  <si>
    <t>Security perimeters shall be defined and used to protect areas that contain information and other associated assets.</t>
  </si>
  <si>
    <t>Physical security perimeter is a facilities control; outside documentation scope.</t>
  </si>
  <si>
    <t>7.2</t>
  </si>
  <si>
    <t>Physical entry</t>
  </si>
  <si>
    <t>Secure areas shall be protected by appropriate entry controls and access points.</t>
  </si>
  <si>
    <t>Physical entry controls are a facilities control; outside documentation scope.</t>
  </si>
  <si>
    <t>7.3</t>
  </si>
  <si>
    <t>Securing offices, rooms and facilities</t>
  </si>
  <si>
    <t>Physical security for offices, rooms and facilities shall be designed and implemented.</t>
  </si>
  <si>
    <t>Securing offices, rooms and facilities is a facilities control.</t>
  </si>
  <si>
    <t>7.4</t>
  </si>
  <si>
    <t>Physical security monitoring</t>
  </si>
  <si>
    <t>Premises shall be continuously monitored for unauthorised physical access.</t>
  </si>
  <si>
    <t>Physical security monitoring is a facilities/records control.</t>
  </si>
  <si>
    <t>7.5</t>
  </si>
  <si>
    <t>Protecting against physical and environmental threats</t>
  </si>
  <si>
    <t>Protection against physical and environmental threats, such as natural disasters and other intentional or unintentional physical threats to infrastructure shall be designed and implemented.</t>
  </si>
  <si>
    <t>Protection against physical and environmental threats is a facilities control.</t>
  </si>
  <si>
    <t>7.6</t>
  </si>
  <si>
    <t>Working in secure areas</t>
  </si>
  <si>
    <t>Security measures for working in secure areas shall be designed and implemented.</t>
  </si>
  <si>
    <t>Working in secure areas is a facilities control.</t>
  </si>
  <si>
    <t>7.7</t>
  </si>
  <si>
    <t>Clear desk and clear screen</t>
  </si>
  <si>
    <t>Clear desk rules for papers and removable storage media and clear screen rules for information processing facilities shall be defined and appropriately enforced.</t>
  </si>
  <si>
    <t>Clear desk and clear screen expectations referenced in the Acceptable Use Policy (NGU-POL-8.1.3).</t>
  </si>
  <si>
    <t>7.8</t>
  </si>
  <si>
    <t>Equipment siting and protection</t>
  </si>
  <si>
    <t>Equipment shall be sited securely and protected.</t>
  </si>
  <si>
    <t>Equipment siting and protection is a facilities control.</t>
  </si>
  <si>
    <t>7.9</t>
  </si>
  <si>
    <t>Security of assets off-premises</t>
  </si>
  <si>
    <t>Off-site assets shall be protected.</t>
  </si>
  <si>
    <t>Security of assets off-premises addressed by the Remote Working Policy (NGU-POL-6.2).</t>
  </si>
  <si>
    <t>7.10</t>
  </si>
  <si>
    <t>Storage media</t>
  </si>
  <si>
    <t>Storage media shall be managed through their life cycle of acquisition, use, transportation and disposal in accordance with the organisation’s classification scheme and handling requirements.</t>
  </si>
  <si>
    <t>Storage media handling referenced in the Information Classification Policy (NGU-POL-8.2).</t>
  </si>
  <si>
    <t>7.11</t>
  </si>
  <si>
    <t>Supporting utilities</t>
  </si>
  <si>
    <t>Information processing facilities shall be protected from power failures and other disruptions caused by failures in supporting utilities.</t>
  </si>
  <si>
    <t>Supporting utilities are a facilities control.</t>
  </si>
  <si>
    <t>7.12</t>
  </si>
  <si>
    <t>Cabling security</t>
  </si>
  <si>
    <t>Cables carrying power, data or supporting information services shall be protected from interception, interference or damage.</t>
  </si>
  <si>
    <t>Cabling security is a facilities control.</t>
  </si>
  <si>
    <t>7.13</t>
  </si>
  <si>
    <t>Equipment maintenance</t>
  </si>
  <si>
    <t>Equipment shall be maintained correctly to ensure availability, integrity and confidentiality of information</t>
  </si>
  <si>
    <t>Equipment maintenance is a facilities/IT-operations control.</t>
  </si>
  <si>
    <t>7.14</t>
  </si>
  <si>
    <t>Secure disposal or re-use of equipment</t>
  </si>
  <si>
    <t>Items of equipment containing storage media shall be verified to ensure that any sensitive data and licensed software has been removed or securely overwritten prior to disposal or re-use.</t>
  </si>
  <si>
    <t>Secure disposal and re-use addressed via the Information Classification Policy (NGU-POL-8.2); secure deletion to be formalised (see 8.10).</t>
  </si>
  <si>
    <t>Technological Controls</t>
  </si>
  <si>
    <t>8.1</t>
  </si>
  <si>
    <t>User end point devices</t>
  </si>
  <si>
    <t>Information stored on, processed by or accessible via user end point devices shall be protected.</t>
  </si>
  <si>
    <t>Endpoint protection addressed in the Remote Working (NGU-POL-6.2) and Acceptable Use (NGU-POL-8.1.3) policies; endpoint compliance not evidenced (NC-001, R07).</t>
  </si>
  <si>
    <t>8.2</t>
  </si>
  <si>
    <t>Privileged access rights</t>
  </si>
  <si>
    <t>The allocation and use of privileged access rights shall be restricted and managed.</t>
  </si>
  <si>
    <t>Privileged access management defined in the Access Control Policy (NGU-POL-9.1).</t>
  </si>
  <si>
    <t>8.3</t>
  </si>
  <si>
    <t>Information access restriction</t>
  </si>
  <si>
    <t>Access to information and other associated assets shall be restricted in accordance with the established topic-specific policy on access control.</t>
  </si>
  <si>
    <t>Information access restriction defined in the Access Control Policy (NGU-POL-9.1).</t>
  </si>
  <si>
    <t>8.4</t>
  </si>
  <si>
    <t>Access to source code</t>
  </si>
  <si>
    <t>Read and write access to source code, development tools and software libraries shall be appropriately managed.</t>
  </si>
  <si>
    <t>Source-code access relevant where bespoke development exists; governed by the Access Control Policy (NGU-POL-9.1) where applicable.</t>
  </si>
  <si>
    <t>8.5</t>
  </si>
  <si>
    <t>Secure authentication</t>
  </si>
  <si>
    <t>Secure authentication technologies and procedures shall be implemented based on information access restrictions and the topic-specific policy on access control.</t>
  </si>
  <si>
    <t>Secure authentication and MFA mandated by the Access Control Policy (NGU-POL-9.1); enforcement gap in NC-001.</t>
  </si>
  <si>
    <t>8.6</t>
  </si>
  <si>
    <t>Capacity management</t>
  </si>
  <si>
    <t>The use of resources shall be monitored and adjusted in line with current and expected capacity requirements.</t>
  </si>
  <si>
    <t>Capacity management is an operational/technical control.</t>
  </si>
  <si>
    <t>8.7</t>
  </si>
  <si>
    <t>Protection against malware</t>
  </si>
  <si>
    <t>Protection against malware shall be implemented and supported by appropriate user awareness.</t>
  </si>
  <si>
    <t>Anti-malware awareness referenced in the Acceptable Use Policy (NGU-POL-8.1.3); technical anti-malware to be evidenced (R07).</t>
  </si>
  <si>
    <t>8.8</t>
  </si>
  <si>
    <t>Management of technical vulnerabilities</t>
  </si>
  <si>
    <t>Information about technical vulnerabilities of information systems in use shall be obtained, the organisation’s exposure to such vulnerabilities shall be evaluated and appropriate measures shall be taken.</t>
  </si>
  <si>
    <t>No vulnerability or patch-management programme evidenced; high-priority gap (R07).</t>
  </si>
  <si>
    <t>8.9</t>
  </si>
  <si>
    <t>Configuration management</t>
  </si>
  <si>
    <t>Configurations, including security configurations, of hardware, software, services and networks shall be established, documented, implemented, monitored and reviewed.</t>
  </si>
  <si>
    <t>Configuration management not covered; 2022 transition gap.</t>
  </si>
  <si>
    <t>8.10</t>
  </si>
  <si>
    <t>Information deletion</t>
  </si>
  <si>
    <t>Information stored in information systems, devices or in any other storage media shall be deleted when no longer required.</t>
  </si>
  <si>
    <t>Secure information deletion/retention not addressed; UK GDPR Art.17 relevance (R08).</t>
  </si>
  <si>
    <t>8.11</t>
  </si>
  <si>
    <t>Data masking</t>
  </si>
  <si>
    <t>Data masking shall be used in accordance with the organisation’s topic-specific policy on access control and other related topic-specific policies, and business requirements, taking applicable legislation into consideration.</t>
  </si>
  <si>
    <t>Data masking/pseudonymisation not documented; relevant to research and PII handling.</t>
  </si>
  <si>
    <t>8.12</t>
  </si>
  <si>
    <t>Data leakage prevention</t>
  </si>
  <si>
    <t>Data leakage prevention measures shall be applied to systems, networks and any other devices that process, store or transmit sensitive information.</t>
  </si>
  <si>
    <t>Data-leakage prevention partly addressed via classification and acceptable use; technical DLP not evidenced.</t>
  </si>
  <si>
    <t>8.13</t>
  </si>
  <si>
    <t>Information backup</t>
  </si>
  <si>
    <t>Backup copies of information, software and systems shall be maintained and regularly tested in accordance with the agreed topic-specific policy on backup.</t>
  </si>
  <si>
    <t>Backup arrangements require technical verification.</t>
  </si>
  <si>
    <t>8.14</t>
  </si>
  <si>
    <t>Redundancy of information processing facilities</t>
  </si>
  <si>
    <t>Information processing facilities shall be implemented with redundancy sufficient to meet availability requirements.</t>
  </si>
  <si>
    <t>Redundancy and availability is a technical control.</t>
  </si>
  <si>
    <t>8.15</t>
  </si>
  <si>
    <t>Logging</t>
  </si>
  <si>
    <t>Logs that record activities, exceptions, faults and other relevant events shall be produced, stored, protected and analysed.</t>
  </si>
  <si>
    <t>Logging requirements referenced; log-review programme not evidenced (NC-004, R04).</t>
  </si>
  <si>
    <t>8.16</t>
  </si>
  <si>
    <t>Monitoring activities</t>
  </si>
  <si>
    <t>Networks, systems and applications shall be monitored for anomalous behaviour and appropriate actions taken to evaluate potential information security incidents.</t>
  </si>
  <si>
    <t>No monitoring activities, KRIs or KCIs evidenced; mirrors Finding F4 (R04) — 2022 transition gap.</t>
  </si>
  <si>
    <t>8.17</t>
  </si>
  <si>
    <t>Clock synchronisation</t>
  </si>
  <si>
    <t>The clocks of information processing systems used by the organisation shall be synchronised to approved time sources.</t>
  </si>
  <si>
    <t>Clock synchronisation is a technical control.</t>
  </si>
  <si>
    <t>8.18</t>
  </si>
  <si>
    <t>Use of privileged utility programs</t>
  </si>
  <si>
    <t>The use of utility programs that can be capable of overriding system and application controls shall be restricted and tightly controlled.</t>
  </si>
  <si>
    <t>Use of privileged utility programs restricted under the Access Control Policy (NGU-POL-9.1); technical verification required.</t>
  </si>
  <si>
    <t>8.19</t>
  </si>
  <si>
    <t>Installation of software on operational systems</t>
  </si>
  <si>
    <t>Procedures and measures shall be implemented to securely manage software installation on operational systems</t>
  </si>
  <si>
    <t>Software installation governed by the Acceptable Use Policy (NGU-POL-8.1.3); technical enforcement to be evidenced.</t>
  </si>
  <si>
    <t>8.20</t>
  </si>
  <si>
    <t>Networks security</t>
  </si>
  <si>
    <t>Networks and network devices shall be secured, managed and controlled to protect information in systems and applications</t>
  </si>
  <si>
    <t>Network security addressed via the Remote Working Policy (NGU-POL-6.2); centralised enforcement not evidenced (NC-001).</t>
  </si>
  <si>
    <t>8.21</t>
  </si>
  <si>
    <t>Security of network services</t>
  </si>
  <si>
    <t>Security mechanisms, service levels and service requirements of network services shall be identified, implemented and monitored.</t>
  </si>
  <si>
    <t>Security of network services requires technical verification.</t>
  </si>
  <si>
    <t>8.22</t>
  </si>
  <si>
    <t>Segregation of networks</t>
  </si>
  <si>
    <t>Groups of information services, users and information systems shall be segregated in the organisation’s networks.</t>
  </si>
  <si>
    <t>Network segregation is a technical control.</t>
  </si>
  <si>
    <t>8.23</t>
  </si>
  <si>
    <t>Web filtering</t>
  </si>
  <si>
    <t>Access to external websites shall be managed to reduce exposure to malicious content.</t>
  </si>
  <si>
    <t>Web filtering not referenced in policies; 2022 transition gap (relevant to remote endpoints).</t>
  </si>
  <si>
    <t>8.24</t>
  </si>
  <si>
    <t>Use of cryptography</t>
  </si>
  <si>
    <t>Rules for the effective use of cryptography, including cryptographic key management, shall be defined and implemented.</t>
  </si>
  <si>
    <t>Cryptographic standards and key management defined in the Cryptographic Policy (NGU-POL-10.1); supports R03.</t>
  </si>
  <si>
    <t>8.25</t>
  </si>
  <si>
    <t>Secure development life cycle</t>
  </si>
  <si>
    <t>Rules for the secure development of software and systems shall be established and applied.</t>
  </si>
  <si>
    <t>Secure development lifecycle relevant where bespoke development exists; to be documented in future scope.</t>
  </si>
  <si>
    <t>8.26</t>
  </si>
  <si>
    <t>Application security requirements</t>
  </si>
  <si>
    <t>Information security requirements shall be identified, specified and approved when developing or acquiring applications.</t>
  </si>
  <si>
    <t>Application security requirements relevant to in-house application development.</t>
  </si>
  <si>
    <t>8.27</t>
  </si>
  <si>
    <t>Secure system architecture and engineering principles</t>
  </si>
  <si>
    <t>Principles for engineering secure systems shall be established, documented, maintained and applied to any information system development activities.</t>
  </si>
  <si>
    <t>Secure system architecture principles relevant to development activity.</t>
  </si>
  <si>
    <t>8.28</t>
  </si>
  <si>
    <t>Secure coding</t>
  </si>
  <si>
    <t>Secure coding principles shall be applied to software development</t>
  </si>
  <si>
    <t>Secure coding applicable only where bespoke software is developed (2022 control).</t>
  </si>
  <si>
    <t>8.29</t>
  </si>
  <si>
    <t>Security testing in development and acceptance</t>
  </si>
  <si>
    <t>Security testing processes shall be defined and implemented in the development life cycle.</t>
  </si>
  <si>
    <t>Security testing relevant to development and acceptance pipelines.</t>
  </si>
  <si>
    <t>8.30</t>
  </si>
  <si>
    <t>Outsourced development</t>
  </si>
  <si>
    <t>The organisation shall direct, monitor and review the activities related to outsourced system development.</t>
  </si>
  <si>
    <t>Outsourced development governed by the Supplier Security Policy (NGU-POL-15.1) where applicable.</t>
  </si>
  <si>
    <t>8.31</t>
  </si>
  <si>
    <t>Separation of development, test and production environments</t>
  </si>
  <si>
    <t>Development, testing and production environments shall be separated and secured.</t>
  </si>
  <si>
    <t>Separation of development, test and production is a technical/dev-ops control.</t>
  </si>
  <si>
    <t>8.32</t>
  </si>
  <si>
    <t>Change management</t>
  </si>
  <si>
    <t>Changes to information processing facilities and information systems shall be subject to change management procedures.</t>
  </si>
  <si>
    <t>Change management is a technical/operations control; to be formalised.</t>
  </si>
  <si>
    <t>8.33</t>
  </si>
  <si>
    <t>Test information</t>
  </si>
  <si>
    <t>Test information shall be appropriately selected, protected and managed.</t>
  </si>
  <si>
    <t>Protection of test information relevant to development activity.</t>
  </si>
  <si>
    <t>8.34</t>
  </si>
  <si>
    <t>Protection of information systems during audit testing</t>
  </si>
  <si>
    <t>Audit tests and other assurance activities involving assessment of operational systems shall be planned and agreed between the tester and appropriate management.</t>
  </si>
  <si>
    <t>Protection of information systems during audit testing requires process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</si>
</sst>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14"/>
      <color rgb="FF000000"/>
      <name val="Arial"/>
      <charset val="1"/>
    </font>
    <font>
      <sz val="12"/>
      <color rgb="FF1F3A5F"/>
      <name val="Arial"/>
      <charset val="1"/>
    </font>
    <font>
      <b/>
      <sz val="10"/>
      <color rgb="FF1F3A5F"/>
      <name val="Arial"/>
      <charset val="1"/>
    </font>
    <font>
      <sz val="10"/>
      <name val="Arial"/>
      <charset val="1"/>
    </font>
    <font>
      <b/>
      <sz val="11"/>
      <color rgb="FF1F3A5F"/>
      <name val="Arial"/>
      <charset val="1"/>
    </font>
    <font>
      <i/>
      <sz val="9"/>
      <color rgb="FF595959"/>
      <name val="Arial"/>
      <charset val="1"/>
    </font>
    <font>
      <b/>
      <sz val="14"/>
      <color rgb="FF1F3A5F"/>
      <name val="Arial"/>
      <charset val="1"/>
    </font>
    <font>
      <i/>
      <sz val="10"/>
      <color rgb="FF595959"/>
      <name val="Arial"/>
      <charset val="1"/>
    </font>
    <font>
      <b/>
      <sz val="10"/>
      <color rgb="FFFFFFFF"/>
      <name val="Arial"/>
      <charset val="1"/>
    </font>
    <font>
      <sz val="10"/>
      <color rgb="FF000000"/>
      <name val="Arial"/>
      <charset val="1"/>
    </font>
    <font>
      <b/>
      <sz val="10"/>
      <name val="Arial"/>
      <charset val="1"/>
    </font>
    <font>
      <b/>
      <sz val="9"/>
      <name val="Arial"/>
      <charset val="1"/>
    </font>
    <font>
      <sz val="9"/>
      <name val="Arial"/>
      <charset val="1"/>
    </font>
    <font>
      <b/>
      <sz val="10"/>
      <color rgb="FF000000"/>
      <name val="Arial"/>
      <charset val="1"/>
    </font>
    <font>
      <b/>
      <sz val="13"/>
      <color rgb="FF1F3A5F"/>
      <name val="Arial"/>
      <charset val="1"/>
    </font>
    <font>
      <b/>
      <sz val="10"/>
      <color rgb="FF2E7D32"/>
      <name val="Arial"/>
      <charset val="1"/>
    </font>
    <font>
      <b/>
      <sz val="20"/>
      <color theme="0"/>
      <name val="Arial"/>
      <family val="2"/>
    </font>
  </fonts>
  <fills count="8">
    <fill>
      <patternFill patternType="none"/>
    </fill>
    <fill>
      <patternFill patternType="gray125"/>
    </fill>
    <fill>
      <patternFill patternType="solid">
        <fgColor rgb="FF1F3A5F"/>
        <bgColor rgb="FF333333"/>
      </patternFill>
    </fill>
    <fill>
      <patternFill patternType="solid">
        <fgColor rgb="FFC6EFCE"/>
        <bgColor rgb="FFD9D9D9"/>
      </patternFill>
    </fill>
    <fill>
      <patternFill patternType="solid">
        <fgColor rgb="FFFCE9C6"/>
        <bgColor rgb="FFF4D6D6"/>
      </patternFill>
    </fill>
    <fill>
      <patternFill patternType="solid">
        <fgColor rgb="FFF4D6D6"/>
        <bgColor rgb="FFD9D9D9"/>
      </patternFill>
    </fill>
    <fill>
      <patternFill patternType="solid">
        <fgColor rgb="FFD9D9D9"/>
        <bgColor rgb="FFF4D6D6"/>
      </patternFill>
    </fill>
    <fill>
      <patternFill patternType="solid">
        <fgColor theme="3" tint="-0.249977111117893"/>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10" fillId="0" borderId="2" xfId="0" applyFont="1" applyBorder="1" applyAlignment="1">
      <alignment vertical="top" wrapText="1"/>
    </xf>
    <xf numFmtId="0" fontId="9" fillId="2" borderId="1" xfId="0" applyFont="1" applyFill="1" applyBorder="1" applyAlignment="1">
      <alignment horizontal="center" vertical="center" wrapText="1"/>
    </xf>
    <xf numFmtId="0" fontId="6" fillId="0" borderId="0" xfId="0" applyFont="1" applyAlignment="1">
      <alignment vertical="top" wrapText="1"/>
    </xf>
    <xf numFmtId="0" fontId="1" fillId="0" borderId="0" xfId="0" applyFont="1"/>
    <xf numFmtId="0" fontId="2" fillId="0" borderId="0" xfId="0" applyFont="1"/>
    <xf numFmtId="0" fontId="5" fillId="0" borderId="0" xfId="0" applyFont="1"/>
    <xf numFmtId="0" fontId="7" fillId="0" borderId="0" xfId="0" applyFont="1"/>
    <xf numFmtId="0" fontId="8" fillId="0" borderId="0" xfId="0" applyFont="1"/>
    <xf numFmtId="0" fontId="9" fillId="2" borderId="1" xfId="0" applyFont="1" applyFill="1" applyBorder="1" applyAlignment="1">
      <alignment horizontal="center" vertical="center" wrapText="1"/>
    </xf>
    <xf numFmtId="0" fontId="10" fillId="0" borderId="1" xfId="0" applyFont="1" applyBorder="1" applyAlignment="1">
      <alignment vertical="top"/>
    </xf>
    <xf numFmtId="0" fontId="10" fillId="0" borderId="1" xfId="0" applyFont="1" applyBorder="1" applyAlignment="1">
      <alignment vertical="top" wrapText="1"/>
    </xf>
    <xf numFmtId="0" fontId="11" fillId="3" borderId="1" xfId="0" applyFont="1" applyFill="1" applyBorder="1" applyAlignment="1">
      <alignment horizontal="center" vertical="center"/>
    </xf>
    <xf numFmtId="0" fontId="11" fillId="4" borderId="1" xfId="0" applyFont="1" applyFill="1" applyBorder="1" applyAlignment="1">
      <alignment horizontal="center" vertical="center"/>
    </xf>
    <xf numFmtId="0" fontId="11" fillId="5" borderId="1" xfId="0" applyFont="1" applyFill="1" applyBorder="1" applyAlignment="1">
      <alignment horizontal="center" vertical="center"/>
    </xf>
    <xf numFmtId="0" fontId="12" fillId="0" borderId="0" xfId="0" applyFont="1"/>
    <xf numFmtId="0" fontId="13" fillId="3" borderId="1" xfId="0" applyFont="1" applyFill="1" applyBorder="1" applyAlignment="1">
      <alignment horizontal="center"/>
    </xf>
    <xf numFmtId="0" fontId="13" fillId="4" borderId="1" xfId="0" applyFont="1" applyFill="1" applyBorder="1" applyAlignment="1">
      <alignment horizontal="center"/>
    </xf>
    <xf numFmtId="0" fontId="13" fillId="5" borderId="1" xfId="0" applyFont="1" applyFill="1" applyBorder="1" applyAlignment="1">
      <alignment horizontal="center"/>
    </xf>
    <xf numFmtId="0" fontId="14" fillId="0" borderId="1" xfId="0" applyFont="1" applyBorder="1" applyAlignment="1">
      <alignment vertical="top"/>
    </xf>
    <xf numFmtId="0" fontId="11" fillId="3" borderId="1" xfId="0" applyFont="1" applyFill="1" applyBorder="1" applyAlignment="1">
      <alignment vertical="top"/>
    </xf>
    <xf numFmtId="0" fontId="11" fillId="4" borderId="1" xfId="0" applyFont="1" applyFill="1" applyBorder="1" applyAlignment="1">
      <alignment vertical="top"/>
    </xf>
    <xf numFmtId="0" fontId="11" fillId="5" borderId="1" xfId="0" applyFont="1" applyFill="1" applyBorder="1" applyAlignment="1">
      <alignment vertical="top"/>
    </xf>
    <xf numFmtId="0" fontId="15" fillId="0" borderId="0" xfId="0" applyFont="1"/>
    <xf numFmtId="0" fontId="11" fillId="0" borderId="1" xfId="0" applyFont="1" applyBorder="1" applyAlignment="1">
      <alignment vertical="top"/>
    </xf>
    <xf numFmtId="0" fontId="10" fillId="5" borderId="1" xfId="0" applyFont="1" applyFill="1" applyBorder="1" applyAlignment="1">
      <alignment horizontal="center" vertical="center"/>
    </xf>
    <xf numFmtId="0" fontId="10" fillId="4" borderId="1" xfId="0" applyFont="1" applyFill="1" applyBorder="1" applyAlignment="1">
      <alignment horizontal="center" vertical="center"/>
    </xf>
    <xf numFmtId="0" fontId="6" fillId="0" borderId="0" xfId="0" applyFont="1"/>
    <xf numFmtId="0" fontId="4" fillId="0" borderId="1" xfId="0" applyFont="1" applyBorder="1" applyAlignment="1">
      <alignment horizontal="center" vertical="top"/>
    </xf>
    <xf numFmtId="0" fontId="10" fillId="0" borderId="1" xfId="0" applyFont="1" applyBorder="1" applyAlignment="1">
      <alignment horizontal="center" vertical="top"/>
    </xf>
    <xf numFmtId="0" fontId="3" fillId="0" borderId="1" xfId="0" applyFont="1" applyBorder="1" applyAlignment="1">
      <alignment vertical="top"/>
    </xf>
    <xf numFmtId="0" fontId="16" fillId="0" borderId="1" xfId="0" applyFont="1" applyBorder="1" applyAlignment="1">
      <alignment horizontal="center" vertical="top"/>
    </xf>
    <xf numFmtId="0" fontId="13" fillId="3" borderId="1" xfId="0" applyFont="1" applyFill="1" applyBorder="1" applyAlignment="1">
      <alignment vertical="top"/>
    </xf>
    <xf numFmtId="0" fontId="13" fillId="6" borderId="1" xfId="0" applyFont="1" applyFill="1" applyBorder="1" applyAlignment="1">
      <alignment vertical="top"/>
    </xf>
    <xf numFmtId="0" fontId="13" fillId="4" borderId="1" xfId="0" applyFont="1" applyFill="1" applyBorder="1" applyAlignment="1">
      <alignment vertical="top"/>
    </xf>
    <xf numFmtId="0" fontId="12" fillId="5" borderId="1" xfId="0" applyFont="1" applyFill="1" applyBorder="1" applyAlignment="1">
      <alignment vertical="top"/>
    </xf>
    <xf numFmtId="0" fontId="4" fillId="0" borderId="4" xfId="0" applyFont="1" applyBorder="1"/>
    <xf numFmtId="0" fontId="4" fillId="0" borderId="3" xfId="0" applyFont="1" applyBorder="1" applyAlignment="1">
      <alignment wrapText="1"/>
    </xf>
    <xf numFmtId="0" fontId="17" fillId="7" borderId="0" xfId="0" applyFont="1"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9C6"/>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4D6D6"/>
      <rgbColor rgb="FF3366FF"/>
      <rgbColor rgb="FF33CCCC"/>
      <rgbColor rgb="FF99CC00"/>
      <rgbColor rgb="FFFFCC00"/>
      <rgbColor rgb="FFFF9900"/>
      <rgbColor rgb="FFFF6600"/>
      <rgbColor rgb="FF595959"/>
      <rgbColor rgb="FF969696"/>
      <rgbColor rgb="FF1F3A5F"/>
      <rgbColor rgb="FF2E7D32"/>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26"/>
  <sheetViews>
    <sheetView showGridLines="0" zoomScaleNormal="100" workbookViewId="0">
      <selection activeCell="F8" sqref="F8"/>
    </sheetView>
  </sheetViews>
  <sheetFormatPr defaultColWidth="8.6640625" defaultRowHeight="14.4" x14ac:dyDescent="0.3"/>
  <cols>
    <col min="1" max="1" width="3" customWidth="1"/>
    <col min="2" max="2" width="26" customWidth="1"/>
    <col min="3" max="3" width="52" customWidth="1"/>
    <col min="4" max="4" width="18" customWidth="1"/>
    <col min="5" max="5" width="3" customWidth="1"/>
  </cols>
  <sheetData>
    <row r="2" spans="2:3" ht="24.6" x14ac:dyDescent="0.4">
      <c r="B2" s="38" t="s">
        <v>0</v>
      </c>
      <c r="C2" s="38"/>
    </row>
    <row r="4" spans="2:3" ht="17.399999999999999" x14ac:dyDescent="0.3">
      <c r="B4" s="4" t="s">
        <v>1</v>
      </c>
    </row>
    <row r="5" spans="2:3" ht="15.6" x14ac:dyDescent="0.3">
      <c r="B5" s="5" t="s">
        <v>2</v>
      </c>
    </row>
    <row r="8" spans="2:3" x14ac:dyDescent="0.3">
      <c r="B8" s="9" t="s">
        <v>3</v>
      </c>
      <c r="C8" s="36" t="s">
        <v>4</v>
      </c>
    </row>
    <row r="9" spans="2:3" x14ac:dyDescent="0.3">
      <c r="B9" s="9" t="s">
        <v>5</v>
      </c>
      <c r="C9" s="36" t="s">
        <v>6</v>
      </c>
    </row>
    <row r="10" spans="2:3" x14ac:dyDescent="0.3">
      <c r="B10" s="9" t="s">
        <v>7</v>
      </c>
      <c r="C10" s="36" t="s">
        <v>8</v>
      </c>
    </row>
    <row r="11" spans="2:3" x14ac:dyDescent="0.3">
      <c r="B11" s="9" t="s">
        <v>9</v>
      </c>
      <c r="C11" s="36" t="s">
        <v>10</v>
      </c>
    </row>
    <row r="12" spans="2:3" x14ac:dyDescent="0.3">
      <c r="B12" s="9" t="s">
        <v>11</v>
      </c>
      <c r="C12" s="36" t="s">
        <v>12</v>
      </c>
    </row>
    <row r="13" spans="2:3" x14ac:dyDescent="0.3">
      <c r="B13" s="9" t="s">
        <v>13</v>
      </c>
      <c r="C13" s="36" t="s">
        <v>14</v>
      </c>
    </row>
    <row r="14" spans="2:3" x14ac:dyDescent="0.3">
      <c r="B14" s="9" t="s">
        <v>15</v>
      </c>
      <c r="C14" s="36" t="s">
        <v>16</v>
      </c>
    </row>
    <row r="16" spans="2:3" ht="27" x14ac:dyDescent="0.3">
      <c r="B16" s="9" t="s">
        <v>17</v>
      </c>
      <c r="C16" s="37" t="s">
        <v>18</v>
      </c>
    </row>
    <row r="17" spans="2:4" ht="27" x14ac:dyDescent="0.3">
      <c r="C17" s="37" t="s">
        <v>19</v>
      </c>
    </row>
    <row r="18" spans="2:4" ht="27" x14ac:dyDescent="0.3">
      <c r="C18" s="37" t="s">
        <v>20</v>
      </c>
    </row>
    <row r="19" spans="2:4" ht="27" x14ac:dyDescent="0.3">
      <c r="C19" s="37" t="s">
        <v>21</v>
      </c>
    </row>
    <row r="22" spans="2:4" ht="15" customHeight="1" x14ac:dyDescent="0.3">
      <c r="B22" s="3" t="s">
        <v>22</v>
      </c>
      <c r="C22" s="3"/>
      <c r="D22" s="3"/>
    </row>
    <row r="23" spans="2:4" x14ac:dyDescent="0.3">
      <c r="B23" s="3"/>
      <c r="C23" s="3"/>
      <c r="D23" s="3"/>
    </row>
    <row r="24" spans="2:4" x14ac:dyDescent="0.3">
      <c r="B24" s="3"/>
      <c r="C24" s="3"/>
      <c r="D24" s="3"/>
    </row>
    <row r="25" spans="2:4" x14ac:dyDescent="0.3">
      <c r="B25" s="3"/>
      <c r="C25" s="3"/>
      <c r="D25" s="3"/>
    </row>
    <row r="26" spans="2:4" x14ac:dyDescent="0.3">
      <c r="B26" s="3"/>
      <c r="C26" s="3"/>
      <c r="D26" s="3"/>
    </row>
  </sheetData>
  <mergeCells count="2">
    <mergeCell ref="B22:D26"/>
    <mergeCell ref="B2:C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showGridLines="0" zoomScaleNormal="100" workbookViewId="0">
      <selection activeCell="B5" sqref="B5"/>
    </sheetView>
  </sheetViews>
  <sheetFormatPr defaultColWidth="8.6640625" defaultRowHeight="14.4" x14ac:dyDescent="0.3"/>
  <cols>
    <col min="1" max="1" width="20" customWidth="1"/>
    <col min="2" max="2" width="46" customWidth="1"/>
    <col min="3" max="4" width="8" customWidth="1"/>
    <col min="5" max="5" width="16" customWidth="1"/>
    <col min="6" max="9" width="12" customWidth="1"/>
    <col min="10" max="10" width="28" customWidth="1"/>
  </cols>
  <sheetData>
    <row r="1" spans="1:10" ht="17.399999999999999" x14ac:dyDescent="0.3">
      <c r="A1" s="7" t="s">
        <v>23</v>
      </c>
    </row>
    <row r="2" spans="1:10" x14ac:dyDescent="0.3">
      <c r="A2" s="8" t="s">
        <v>24</v>
      </c>
    </row>
    <row r="4" spans="1:10" x14ac:dyDescent="0.3">
      <c r="A4" s="6" t="s">
        <v>25</v>
      </c>
      <c r="E4" s="6" t="s">
        <v>26</v>
      </c>
    </row>
    <row r="5" spans="1:10" ht="26.4" x14ac:dyDescent="0.3">
      <c r="A5" s="9" t="s">
        <v>27</v>
      </c>
      <c r="B5" s="9" t="s">
        <v>28</v>
      </c>
      <c r="E5" s="9" t="s">
        <v>29</v>
      </c>
      <c r="F5" s="9">
        <v>1</v>
      </c>
      <c r="G5" s="9">
        <v>2</v>
      </c>
      <c r="H5" s="9">
        <v>3</v>
      </c>
      <c r="I5" s="9">
        <v>4</v>
      </c>
      <c r="J5" s="9">
        <v>5</v>
      </c>
    </row>
    <row r="6" spans="1:10" x14ac:dyDescent="0.3">
      <c r="A6" s="10" t="s">
        <v>30</v>
      </c>
      <c r="B6" s="11" t="s">
        <v>31</v>
      </c>
      <c r="E6" s="9">
        <v>5</v>
      </c>
      <c r="F6" s="12">
        <v>5</v>
      </c>
      <c r="G6" s="13">
        <v>10</v>
      </c>
      <c r="H6" s="14">
        <v>15</v>
      </c>
      <c r="I6" s="14">
        <v>20</v>
      </c>
      <c r="J6" s="14">
        <v>25</v>
      </c>
    </row>
    <row r="7" spans="1:10" x14ac:dyDescent="0.3">
      <c r="A7" s="10" t="s">
        <v>32</v>
      </c>
      <c r="B7" s="11" t="s">
        <v>33</v>
      </c>
      <c r="E7" s="9">
        <v>4</v>
      </c>
      <c r="F7" s="12">
        <v>4</v>
      </c>
      <c r="G7" s="13">
        <v>8</v>
      </c>
      <c r="H7" s="13">
        <v>12</v>
      </c>
      <c r="I7" s="14">
        <v>16</v>
      </c>
      <c r="J7" s="14">
        <v>20</v>
      </c>
    </row>
    <row r="8" spans="1:10" x14ac:dyDescent="0.3">
      <c r="A8" s="10" t="s">
        <v>34</v>
      </c>
      <c r="B8" s="11" t="s">
        <v>35</v>
      </c>
      <c r="E8" s="9">
        <v>3</v>
      </c>
      <c r="F8" s="12">
        <v>3</v>
      </c>
      <c r="G8" s="12">
        <v>6</v>
      </c>
      <c r="H8" s="13">
        <v>9</v>
      </c>
      <c r="I8" s="13">
        <v>12</v>
      </c>
      <c r="J8" s="14">
        <v>15</v>
      </c>
    </row>
    <row r="9" spans="1:10" x14ac:dyDescent="0.3">
      <c r="A9" s="10" t="s">
        <v>36</v>
      </c>
      <c r="B9" s="11" t="s">
        <v>37</v>
      </c>
      <c r="E9" s="9">
        <v>2</v>
      </c>
      <c r="F9" s="12">
        <v>2</v>
      </c>
      <c r="G9" s="12">
        <v>4</v>
      </c>
      <c r="H9" s="12">
        <v>6</v>
      </c>
      <c r="I9" s="13">
        <v>8</v>
      </c>
      <c r="J9" s="13">
        <v>10</v>
      </c>
    </row>
    <row r="10" spans="1:10" x14ac:dyDescent="0.3">
      <c r="A10" s="10" t="s">
        <v>38</v>
      </c>
      <c r="B10" s="11" t="s">
        <v>39</v>
      </c>
      <c r="E10" s="9">
        <v>1</v>
      </c>
      <c r="F10" s="12">
        <v>1</v>
      </c>
      <c r="G10" s="12">
        <v>2</v>
      </c>
      <c r="H10" s="12">
        <v>3</v>
      </c>
      <c r="I10" s="12">
        <v>4</v>
      </c>
      <c r="J10" s="12">
        <v>5</v>
      </c>
    </row>
    <row r="12" spans="1:10" x14ac:dyDescent="0.3">
      <c r="A12" s="6" t="s">
        <v>40</v>
      </c>
      <c r="E12" s="15" t="s">
        <v>41</v>
      </c>
      <c r="F12" s="16" t="s">
        <v>42</v>
      </c>
      <c r="G12" s="17" t="s">
        <v>43</v>
      </c>
      <c r="H12" s="18" t="s">
        <v>44</v>
      </c>
    </row>
    <row r="13" spans="1:10" x14ac:dyDescent="0.3">
      <c r="A13" s="9" t="s">
        <v>27</v>
      </c>
      <c r="B13" s="9" t="s">
        <v>28</v>
      </c>
    </row>
    <row r="14" spans="1:10" x14ac:dyDescent="0.3">
      <c r="A14" s="10" t="s">
        <v>45</v>
      </c>
      <c r="B14" s="11" t="s">
        <v>46</v>
      </c>
      <c r="E14" s="6" t="s">
        <v>47</v>
      </c>
    </row>
    <row r="15" spans="1:10" ht="15" customHeight="1" x14ac:dyDescent="0.3">
      <c r="A15" s="10" t="s">
        <v>48</v>
      </c>
      <c r="B15" s="11" t="s">
        <v>49</v>
      </c>
      <c r="E15" s="9" t="s">
        <v>15</v>
      </c>
      <c r="F15" s="2" t="s">
        <v>50</v>
      </c>
      <c r="G15" s="2"/>
      <c r="H15" s="2"/>
      <c r="I15" s="2"/>
    </row>
    <row r="16" spans="1:10" ht="23.85" customHeight="1" x14ac:dyDescent="0.3">
      <c r="A16" s="10" t="s">
        <v>51</v>
      </c>
      <c r="B16" s="11" t="s">
        <v>52</v>
      </c>
      <c r="E16" s="19" t="s">
        <v>53</v>
      </c>
      <c r="F16" s="1" t="s">
        <v>54</v>
      </c>
      <c r="G16" s="1"/>
      <c r="H16" s="1"/>
      <c r="I16" s="1"/>
    </row>
    <row r="17" spans="1:9" ht="23.85" customHeight="1" x14ac:dyDescent="0.3">
      <c r="A17" s="10" t="s">
        <v>55</v>
      </c>
      <c r="B17" s="11" t="s">
        <v>56</v>
      </c>
      <c r="E17" s="19" t="s">
        <v>57</v>
      </c>
      <c r="F17" s="1" t="s">
        <v>58</v>
      </c>
      <c r="G17" s="1"/>
      <c r="H17" s="1"/>
      <c r="I17" s="1"/>
    </row>
    <row r="18" spans="1:9" ht="23.85" customHeight="1" x14ac:dyDescent="0.3">
      <c r="A18" s="10" t="s">
        <v>59</v>
      </c>
      <c r="B18" s="11" t="s">
        <v>60</v>
      </c>
      <c r="E18" s="19" t="s">
        <v>16</v>
      </c>
      <c r="F18" s="1" t="s">
        <v>61</v>
      </c>
      <c r="G18" s="1"/>
      <c r="H18" s="1"/>
      <c r="I18" s="1"/>
    </row>
    <row r="19" spans="1:9" ht="15" customHeight="1" x14ac:dyDescent="0.3">
      <c r="E19" s="19" t="s">
        <v>62</v>
      </c>
      <c r="F19" s="1" t="s">
        <v>63</v>
      </c>
      <c r="G19" s="1"/>
      <c r="H19" s="1"/>
      <c r="I19" s="1"/>
    </row>
    <row r="20" spans="1:9" x14ac:dyDescent="0.3">
      <c r="A20" s="6" t="s">
        <v>64</v>
      </c>
    </row>
    <row r="21" spans="1:9" x14ac:dyDescent="0.3">
      <c r="A21" s="9" t="s">
        <v>65</v>
      </c>
      <c r="B21" s="9" t="s">
        <v>66</v>
      </c>
      <c r="C21" s="9" t="s">
        <v>67</v>
      </c>
    </row>
    <row r="22" spans="1:9" x14ac:dyDescent="0.3">
      <c r="A22" s="10" t="s">
        <v>68</v>
      </c>
      <c r="B22" s="20" t="s">
        <v>69</v>
      </c>
      <c r="C22" s="10" t="s">
        <v>70</v>
      </c>
    </row>
    <row r="23" spans="1:9" x14ac:dyDescent="0.3">
      <c r="A23" s="10" t="s">
        <v>71</v>
      </c>
      <c r="B23" s="21" t="s">
        <v>72</v>
      </c>
      <c r="C23" s="10" t="s">
        <v>73</v>
      </c>
    </row>
    <row r="24" spans="1:9" x14ac:dyDescent="0.3">
      <c r="A24" s="10" t="s">
        <v>74</v>
      </c>
      <c r="B24" s="22" t="s">
        <v>75</v>
      </c>
      <c r="C24" s="10" t="s">
        <v>76</v>
      </c>
    </row>
    <row r="26" spans="1:9" x14ac:dyDescent="0.3">
      <c r="A26" s="6" t="s">
        <v>77</v>
      </c>
    </row>
    <row r="27" spans="1:9" x14ac:dyDescent="0.3">
      <c r="A27" s="9" t="s">
        <v>78</v>
      </c>
      <c r="B27" s="9" t="s">
        <v>79</v>
      </c>
    </row>
    <row r="28" spans="1:9" x14ac:dyDescent="0.3">
      <c r="A28" s="10" t="s">
        <v>80</v>
      </c>
      <c r="B28" s="11" t="s">
        <v>81</v>
      </c>
    </row>
    <row r="29" spans="1:9" ht="26.4" x14ac:dyDescent="0.3">
      <c r="A29" s="10" t="s">
        <v>82</v>
      </c>
      <c r="B29" s="11" t="s">
        <v>83</v>
      </c>
    </row>
    <row r="30" spans="1:9" ht="26.4" x14ac:dyDescent="0.3">
      <c r="A30" s="10" t="s">
        <v>84</v>
      </c>
      <c r="B30" s="11" t="s">
        <v>85</v>
      </c>
    </row>
    <row r="31" spans="1:9" x14ac:dyDescent="0.3">
      <c r="A31" s="10" t="s">
        <v>86</v>
      </c>
      <c r="B31" s="11" t="s">
        <v>87</v>
      </c>
    </row>
  </sheetData>
  <mergeCells count="5">
    <mergeCell ref="F15:I15"/>
    <mergeCell ref="F16:I16"/>
    <mergeCell ref="F17:I17"/>
    <mergeCell ref="F18:I18"/>
    <mergeCell ref="F19:I1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
  <sheetViews>
    <sheetView showGridLines="0" zoomScaleNormal="100" workbookViewId="0">
      <pane ySplit="3" topLeftCell="A4" activePane="bottomLeft" state="frozen"/>
      <selection pane="bottomLeft" activeCell="D16" sqref="D16"/>
    </sheetView>
  </sheetViews>
  <sheetFormatPr defaultColWidth="8.6640625" defaultRowHeight="14.4" x14ac:dyDescent="0.3"/>
  <cols>
    <col min="1" max="1" width="8" customWidth="1"/>
    <col min="2" max="2" width="30" customWidth="1"/>
    <col min="3" max="3" width="16" customWidth="1"/>
    <col min="4" max="4" width="26" customWidth="1"/>
    <col min="5" max="5" width="24" customWidth="1"/>
    <col min="6" max="6" width="16" customWidth="1"/>
    <col min="7" max="7" width="26" customWidth="1"/>
    <col min="8" max="8" width="13" customWidth="1"/>
    <col min="9" max="9" width="11" customWidth="1"/>
    <col min="10" max="10" width="13" customWidth="1"/>
    <col min="11" max="12" width="30" customWidth="1"/>
  </cols>
  <sheetData>
    <row r="1" spans="1:12" ht="16.8" x14ac:dyDescent="0.3">
      <c r="A1" s="23" t="s">
        <v>88</v>
      </c>
    </row>
    <row r="3" spans="1:12" ht="26.4" x14ac:dyDescent="0.3">
      <c r="A3" s="9" t="s">
        <v>89</v>
      </c>
      <c r="B3" s="9" t="s">
        <v>90</v>
      </c>
      <c r="C3" s="9" t="s">
        <v>91</v>
      </c>
      <c r="D3" s="9" t="s">
        <v>92</v>
      </c>
      <c r="E3" s="9" t="s">
        <v>93</v>
      </c>
      <c r="F3" s="9" t="s">
        <v>15</v>
      </c>
      <c r="G3" s="9" t="s">
        <v>94</v>
      </c>
      <c r="H3" s="9" t="s">
        <v>95</v>
      </c>
      <c r="I3" s="9" t="s">
        <v>96</v>
      </c>
      <c r="J3" s="9" t="s">
        <v>97</v>
      </c>
      <c r="K3" s="9" t="s">
        <v>98</v>
      </c>
      <c r="L3" s="9" t="s">
        <v>99</v>
      </c>
    </row>
    <row r="4" spans="1:12" ht="26.4" x14ac:dyDescent="0.3">
      <c r="A4" s="24" t="s">
        <v>100</v>
      </c>
      <c r="B4" s="11" t="s">
        <v>101</v>
      </c>
      <c r="C4" s="10" t="s">
        <v>102</v>
      </c>
      <c r="D4" s="10" t="s">
        <v>103</v>
      </c>
      <c r="E4" s="10" t="s">
        <v>104</v>
      </c>
      <c r="F4" s="10" t="s">
        <v>53</v>
      </c>
      <c r="G4" s="11" t="s">
        <v>105</v>
      </c>
      <c r="H4" s="25" t="s">
        <v>75</v>
      </c>
      <c r="I4" s="25" t="s">
        <v>75</v>
      </c>
      <c r="J4" s="25" t="s">
        <v>75</v>
      </c>
      <c r="K4" s="11" t="s">
        <v>106</v>
      </c>
      <c r="L4" s="11" t="s">
        <v>107</v>
      </c>
    </row>
    <row r="5" spans="1:12" ht="26.4" x14ac:dyDescent="0.3">
      <c r="A5" s="24" t="s">
        <v>108</v>
      </c>
      <c r="B5" s="11" t="s">
        <v>109</v>
      </c>
      <c r="C5" s="10" t="s">
        <v>102</v>
      </c>
      <c r="D5" s="10" t="s">
        <v>110</v>
      </c>
      <c r="E5" s="10" t="s">
        <v>111</v>
      </c>
      <c r="F5" s="10" t="s">
        <v>57</v>
      </c>
      <c r="G5" s="11" t="s">
        <v>112</v>
      </c>
      <c r="H5" s="25" t="s">
        <v>75</v>
      </c>
      <c r="I5" s="25" t="s">
        <v>75</v>
      </c>
      <c r="J5" s="26" t="s">
        <v>72</v>
      </c>
      <c r="K5" s="11" t="s">
        <v>113</v>
      </c>
      <c r="L5" s="11" t="s">
        <v>114</v>
      </c>
    </row>
    <row r="6" spans="1:12" ht="26.4" x14ac:dyDescent="0.3">
      <c r="A6" s="24" t="s">
        <v>115</v>
      </c>
      <c r="B6" s="11" t="s">
        <v>116</v>
      </c>
      <c r="C6" s="10" t="s">
        <v>102</v>
      </c>
      <c r="D6" s="10" t="s">
        <v>117</v>
      </c>
      <c r="E6" s="10" t="s">
        <v>118</v>
      </c>
      <c r="F6" s="10" t="s">
        <v>16</v>
      </c>
      <c r="G6" s="11" t="s">
        <v>119</v>
      </c>
      <c r="H6" s="26" t="s">
        <v>72</v>
      </c>
      <c r="I6" s="25" t="s">
        <v>75</v>
      </c>
      <c r="J6" s="25" t="s">
        <v>75</v>
      </c>
      <c r="K6" s="11" t="s">
        <v>120</v>
      </c>
      <c r="L6" s="11" t="s">
        <v>121</v>
      </c>
    </row>
    <row r="7" spans="1:12" ht="26.4" x14ac:dyDescent="0.3">
      <c r="A7" s="24" t="s">
        <v>122</v>
      </c>
      <c r="B7" s="11" t="s">
        <v>123</v>
      </c>
      <c r="C7" s="10" t="s">
        <v>102</v>
      </c>
      <c r="D7" s="10" t="s">
        <v>124</v>
      </c>
      <c r="E7" s="10" t="s">
        <v>104</v>
      </c>
      <c r="F7" s="10" t="s">
        <v>53</v>
      </c>
      <c r="G7" s="11" t="s">
        <v>125</v>
      </c>
      <c r="H7" s="25" t="s">
        <v>75</v>
      </c>
      <c r="I7" s="25" t="s">
        <v>75</v>
      </c>
      <c r="J7" s="25" t="s">
        <v>75</v>
      </c>
      <c r="K7" s="11" t="s">
        <v>126</v>
      </c>
      <c r="L7" s="11" t="s">
        <v>127</v>
      </c>
    </row>
    <row r="8" spans="1:12" ht="26.4" x14ac:dyDescent="0.3">
      <c r="A8" s="24" t="s">
        <v>128</v>
      </c>
      <c r="B8" s="11" t="s">
        <v>129</v>
      </c>
      <c r="C8" s="10" t="s">
        <v>102</v>
      </c>
      <c r="D8" s="10" t="s">
        <v>130</v>
      </c>
      <c r="E8" s="10" t="s">
        <v>131</v>
      </c>
      <c r="F8" s="10" t="s">
        <v>57</v>
      </c>
      <c r="G8" s="11" t="s">
        <v>132</v>
      </c>
      <c r="H8" s="26" t="s">
        <v>72</v>
      </c>
      <c r="I8" s="25" t="s">
        <v>75</v>
      </c>
      <c r="J8" s="25" t="s">
        <v>75</v>
      </c>
      <c r="K8" s="11" t="s">
        <v>133</v>
      </c>
      <c r="L8" s="11" t="s">
        <v>134</v>
      </c>
    </row>
    <row r="9" spans="1:12" ht="26.4" x14ac:dyDescent="0.3">
      <c r="A9" s="24" t="s">
        <v>135</v>
      </c>
      <c r="B9" s="11" t="s">
        <v>136</v>
      </c>
      <c r="C9" s="10" t="s">
        <v>137</v>
      </c>
      <c r="D9" s="10" t="s">
        <v>138</v>
      </c>
      <c r="E9" s="10" t="s">
        <v>139</v>
      </c>
      <c r="F9" s="10" t="s">
        <v>57</v>
      </c>
      <c r="G9" s="11" t="s">
        <v>140</v>
      </c>
      <c r="H9" s="25" t="s">
        <v>75</v>
      </c>
      <c r="I9" s="25" t="s">
        <v>75</v>
      </c>
      <c r="J9" s="25" t="s">
        <v>75</v>
      </c>
      <c r="K9" s="11" t="s">
        <v>141</v>
      </c>
      <c r="L9" s="11" t="s">
        <v>142</v>
      </c>
    </row>
    <row r="10" spans="1:12" ht="26.4" x14ac:dyDescent="0.3">
      <c r="A10" s="24" t="s">
        <v>143</v>
      </c>
      <c r="B10" s="11" t="s">
        <v>144</v>
      </c>
      <c r="C10" s="10" t="s">
        <v>145</v>
      </c>
      <c r="D10" s="10" t="s">
        <v>130</v>
      </c>
      <c r="E10" s="10" t="s">
        <v>146</v>
      </c>
      <c r="F10" s="10" t="s">
        <v>16</v>
      </c>
      <c r="G10" s="11" t="s">
        <v>147</v>
      </c>
      <c r="H10" s="26" t="s">
        <v>72</v>
      </c>
      <c r="I10" s="26" t="s">
        <v>72</v>
      </c>
      <c r="J10" s="26" t="s">
        <v>72</v>
      </c>
      <c r="K10" s="11" t="s">
        <v>148</v>
      </c>
      <c r="L10" s="11" t="s">
        <v>149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2"/>
  <sheetViews>
    <sheetView showGridLines="0" zoomScaleNormal="100" workbookViewId="0">
      <pane ySplit="4" topLeftCell="A5" activePane="bottomLeft" state="frozen"/>
      <selection pane="bottomLeft" activeCell="K6" sqref="K6"/>
    </sheetView>
  </sheetViews>
  <sheetFormatPr defaultColWidth="8.6640625" defaultRowHeight="14.4" x14ac:dyDescent="0.3"/>
  <cols>
    <col min="1" max="1" width="8" customWidth="1"/>
    <col min="2" max="2" width="9" customWidth="1"/>
    <col min="3" max="3" width="22" customWidth="1"/>
    <col min="4" max="4" width="34" customWidth="1"/>
    <col min="5" max="5" width="22" customWidth="1"/>
    <col min="6" max="6" width="24" customWidth="1"/>
    <col min="7" max="7" width="11" customWidth="1"/>
    <col min="8" max="8" width="9" customWidth="1"/>
    <col min="9" max="9" width="10" customWidth="1"/>
    <col min="10" max="10" width="11" customWidth="1"/>
    <col min="11" max="11" width="14" customWidth="1"/>
    <col min="12" max="12" width="46" customWidth="1"/>
    <col min="13" max="13" width="13" customWidth="1"/>
    <col min="14" max="14" width="12" customWidth="1"/>
    <col min="15" max="15" width="11" customWidth="1"/>
    <col min="16" max="16" width="12" customWidth="1"/>
    <col min="17" max="17" width="24" customWidth="1"/>
    <col min="18" max="18" width="26" customWidth="1"/>
  </cols>
  <sheetData>
    <row r="1" spans="1:18" ht="16.8" x14ac:dyDescent="0.3">
      <c r="A1" s="23" t="s">
        <v>150</v>
      </c>
    </row>
    <row r="2" spans="1:18" x14ac:dyDescent="0.3">
      <c r="A2" s="27" t="s">
        <v>151</v>
      </c>
    </row>
    <row r="4" spans="1:18" ht="26.4" x14ac:dyDescent="0.3">
      <c r="A4" s="9" t="s">
        <v>152</v>
      </c>
      <c r="B4" s="9" t="s">
        <v>89</v>
      </c>
      <c r="C4" s="9" t="s">
        <v>153</v>
      </c>
      <c r="D4" s="9" t="s">
        <v>154</v>
      </c>
      <c r="E4" s="9" t="s">
        <v>98</v>
      </c>
      <c r="F4" s="9" t="s">
        <v>99</v>
      </c>
      <c r="G4" s="9" t="s">
        <v>155</v>
      </c>
      <c r="H4" s="9" t="s">
        <v>156</v>
      </c>
      <c r="I4" s="9" t="s">
        <v>65</v>
      </c>
      <c r="J4" s="9" t="s">
        <v>66</v>
      </c>
      <c r="K4" s="9" t="s">
        <v>157</v>
      </c>
      <c r="L4" s="9" t="s">
        <v>158</v>
      </c>
      <c r="M4" s="9" t="s">
        <v>159</v>
      </c>
      <c r="N4" s="9" t="s">
        <v>160</v>
      </c>
      <c r="O4" s="9" t="s">
        <v>161</v>
      </c>
      <c r="P4" s="9" t="s">
        <v>162</v>
      </c>
      <c r="Q4" s="9" t="s">
        <v>163</v>
      </c>
      <c r="R4" s="9" t="s">
        <v>164</v>
      </c>
    </row>
    <row r="5" spans="1:18" ht="52.8" x14ac:dyDescent="0.3">
      <c r="A5" s="10" t="s">
        <v>165</v>
      </c>
      <c r="B5" s="10" t="s">
        <v>135</v>
      </c>
      <c r="C5" s="10" t="s">
        <v>166</v>
      </c>
      <c r="D5" s="11" t="s">
        <v>167</v>
      </c>
      <c r="E5" s="11" t="s">
        <v>168</v>
      </c>
      <c r="F5" s="11" t="s">
        <v>169</v>
      </c>
      <c r="G5" s="28">
        <v>4</v>
      </c>
      <c r="H5" s="28">
        <v>5</v>
      </c>
      <c r="I5" s="29">
        <f t="shared" ref="I5:I12" si="0">G5*H5</f>
        <v>20</v>
      </c>
      <c r="J5" s="14" t="str">
        <f t="shared" ref="J5:J12" si="1">IF(I5&lt;=6,"Low",IF(I5&lt;=12,"Medium","High"))</f>
        <v>High</v>
      </c>
      <c r="K5" s="10" t="s">
        <v>80</v>
      </c>
      <c r="L5" s="11" t="s">
        <v>170</v>
      </c>
      <c r="M5" s="28">
        <v>2</v>
      </c>
      <c r="N5" s="28">
        <v>5</v>
      </c>
      <c r="O5" s="29">
        <f t="shared" ref="O5:O12" si="2">M5*N5</f>
        <v>10</v>
      </c>
      <c r="P5" s="13" t="str">
        <f t="shared" ref="P5:P12" si="3">IF(O5&lt;=6,"Low",IF(O5&lt;=12,"Medium","High"))</f>
        <v>Medium</v>
      </c>
      <c r="Q5" s="11" t="s">
        <v>171</v>
      </c>
      <c r="R5" s="11" t="s">
        <v>172</v>
      </c>
    </row>
    <row r="6" spans="1:18" ht="52.8" x14ac:dyDescent="0.3">
      <c r="A6" s="10" t="s">
        <v>173</v>
      </c>
      <c r="B6" s="10" t="s">
        <v>174</v>
      </c>
      <c r="C6" s="10" t="s">
        <v>175</v>
      </c>
      <c r="D6" s="11" t="s">
        <v>176</v>
      </c>
      <c r="E6" s="11" t="s">
        <v>177</v>
      </c>
      <c r="F6" s="11" t="s">
        <v>178</v>
      </c>
      <c r="G6" s="28">
        <v>4</v>
      </c>
      <c r="H6" s="28">
        <v>4</v>
      </c>
      <c r="I6" s="29">
        <f t="shared" si="0"/>
        <v>16</v>
      </c>
      <c r="J6" s="14" t="str">
        <f t="shared" si="1"/>
        <v>High</v>
      </c>
      <c r="K6" s="10" t="s">
        <v>80</v>
      </c>
      <c r="L6" s="11" t="s">
        <v>179</v>
      </c>
      <c r="M6" s="28">
        <v>2</v>
      </c>
      <c r="N6" s="28">
        <v>4</v>
      </c>
      <c r="O6" s="29">
        <f t="shared" si="2"/>
        <v>8</v>
      </c>
      <c r="P6" s="13" t="str">
        <f t="shared" si="3"/>
        <v>Medium</v>
      </c>
      <c r="Q6" s="11" t="s">
        <v>180</v>
      </c>
      <c r="R6" s="11" t="s">
        <v>181</v>
      </c>
    </row>
    <row r="7" spans="1:18" ht="52.8" x14ac:dyDescent="0.3">
      <c r="A7" s="10" t="s">
        <v>182</v>
      </c>
      <c r="B7" s="10" t="s">
        <v>100</v>
      </c>
      <c r="C7" s="10" t="s">
        <v>101</v>
      </c>
      <c r="D7" s="11" t="s">
        <v>183</v>
      </c>
      <c r="E7" s="11" t="s">
        <v>184</v>
      </c>
      <c r="F7" s="11" t="s">
        <v>185</v>
      </c>
      <c r="G7" s="28">
        <v>3</v>
      </c>
      <c r="H7" s="28">
        <v>5</v>
      </c>
      <c r="I7" s="29">
        <f t="shared" si="0"/>
        <v>15</v>
      </c>
      <c r="J7" s="14" t="str">
        <f t="shared" si="1"/>
        <v>High</v>
      </c>
      <c r="K7" s="10" t="s">
        <v>80</v>
      </c>
      <c r="L7" s="11" t="s">
        <v>186</v>
      </c>
      <c r="M7" s="28">
        <v>2</v>
      </c>
      <c r="N7" s="28">
        <v>5</v>
      </c>
      <c r="O7" s="29">
        <f t="shared" si="2"/>
        <v>10</v>
      </c>
      <c r="P7" s="13" t="str">
        <f t="shared" si="3"/>
        <v>Medium</v>
      </c>
      <c r="Q7" s="11" t="s">
        <v>187</v>
      </c>
      <c r="R7" s="11" t="s">
        <v>188</v>
      </c>
    </row>
    <row r="8" spans="1:18" ht="39.6" x14ac:dyDescent="0.3">
      <c r="A8" s="10" t="s">
        <v>189</v>
      </c>
      <c r="B8" s="10" t="s">
        <v>190</v>
      </c>
      <c r="C8" s="10" t="s">
        <v>191</v>
      </c>
      <c r="D8" s="11" t="s">
        <v>192</v>
      </c>
      <c r="E8" s="11" t="s">
        <v>193</v>
      </c>
      <c r="F8" s="11" t="s">
        <v>194</v>
      </c>
      <c r="G8" s="28">
        <v>4</v>
      </c>
      <c r="H8" s="28">
        <v>3</v>
      </c>
      <c r="I8" s="29">
        <f t="shared" si="0"/>
        <v>12</v>
      </c>
      <c r="J8" s="13" t="str">
        <f t="shared" si="1"/>
        <v>Medium</v>
      </c>
      <c r="K8" s="10" t="s">
        <v>80</v>
      </c>
      <c r="L8" s="11" t="s">
        <v>195</v>
      </c>
      <c r="M8" s="28">
        <v>2</v>
      </c>
      <c r="N8" s="28">
        <v>3</v>
      </c>
      <c r="O8" s="29">
        <f t="shared" si="2"/>
        <v>6</v>
      </c>
      <c r="P8" s="12" t="str">
        <f t="shared" si="3"/>
        <v>Low</v>
      </c>
      <c r="Q8" s="11" t="s">
        <v>180</v>
      </c>
      <c r="R8" s="11" t="s">
        <v>196</v>
      </c>
    </row>
    <row r="9" spans="1:18" ht="39.6" x14ac:dyDescent="0.3">
      <c r="A9" s="10" t="s">
        <v>197</v>
      </c>
      <c r="B9" s="10" t="s">
        <v>174</v>
      </c>
      <c r="C9" s="10" t="s">
        <v>198</v>
      </c>
      <c r="D9" s="11" t="s">
        <v>199</v>
      </c>
      <c r="E9" s="11" t="s">
        <v>200</v>
      </c>
      <c r="F9" s="11" t="s">
        <v>201</v>
      </c>
      <c r="G9" s="28">
        <v>4</v>
      </c>
      <c r="H9" s="28">
        <v>3</v>
      </c>
      <c r="I9" s="29">
        <f t="shared" si="0"/>
        <v>12</v>
      </c>
      <c r="J9" s="13" t="str">
        <f t="shared" si="1"/>
        <v>Medium</v>
      </c>
      <c r="K9" s="10" t="s">
        <v>80</v>
      </c>
      <c r="L9" s="11" t="s">
        <v>202</v>
      </c>
      <c r="M9" s="28">
        <v>2</v>
      </c>
      <c r="N9" s="28">
        <v>3</v>
      </c>
      <c r="O9" s="29">
        <f t="shared" si="2"/>
        <v>6</v>
      </c>
      <c r="P9" s="12" t="str">
        <f t="shared" si="3"/>
        <v>Low</v>
      </c>
      <c r="Q9" s="11" t="s">
        <v>203</v>
      </c>
      <c r="R9" s="11" t="s">
        <v>204</v>
      </c>
    </row>
    <row r="10" spans="1:18" ht="39.6" x14ac:dyDescent="0.3">
      <c r="A10" s="10" t="s">
        <v>205</v>
      </c>
      <c r="B10" s="10" t="s">
        <v>128</v>
      </c>
      <c r="C10" s="10" t="s">
        <v>206</v>
      </c>
      <c r="D10" s="11" t="s">
        <v>207</v>
      </c>
      <c r="E10" s="11" t="s">
        <v>208</v>
      </c>
      <c r="F10" s="11" t="s">
        <v>209</v>
      </c>
      <c r="G10" s="28">
        <v>3</v>
      </c>
      <c r="H10" s="28">
        <v>4</v>
      </c>
      <c r="I10" s="29">
        <f t="shared" si="0"/>
        <v>12</v>
      </c>
      <c r="J10" s="13" t="str">
        <f t="shared" si="1"/>
        <v>Medium</v>
      </c>
      <c r="K10" s="10" t="s">
        <v>80</v>
      </c>
      <c r="L10" s="11" t="s">
        <v>210</v>
      </c>
      <c r="M10" s="28">
        <v>2</v>
      </c>
      <c r="N10" s="28">
        <v>4</v>
      </c>
      <c r="O10" s="29">
        <f t="shared" si="2"/>
        <v>8</v>
      </c>
      <c r="P10" s="13" t="str">
        <f t="shared" si="3"/>
        <v>Medium</v>
      </c>
      <c r="Q10" s="11" t="s">
        <v>211</v>
      </c>
      <c r="R10" s="11" t="s">
        <v>188</v>
      </c>
    </row>
    <row r="11" spans="1:18" ht="52.8" x14ac:dyDescent="0.3">
      <c r="A11" s="10" t="s">
        <v>212</v>
      </c>
      <c r="B11" s="10" t="s">
        <v>143</v>
      </c>
      <c r="C11" s="10" t="s">
        <v>213</v>
      </c>
      <c r="D11" s="11" t="s">
        <v>214</v>
      </c>
      <c r="E11" s="11" t="s">
        <v>215</v>
      </c>
      <c r="F11" s="11" t="s">
        <v>216</v>
      </c>
      <c r="G11" s="28">
        <v>4</v>
      </c>
      <c r="H11" s="28">
        <v>4</v>
      </c>
      <c r="I11" s="29">
        <f t="shared" si="0"/>
        <v>16</v>
      </c>
      <c r="J11" s="14" t="str">
        <f t="shared" si="1"/>
        <v>High</v>
      </c>
      <c r="K11" s="10" t="s">
        <v>80</v>
      </c>
      <c r="L11" s="11" t="s">
        <v>217</v>
      </c>
      <c r="M11" s="28">
        <v>2</v>
      </c>
      <c r="N11" s="28">
        <v>4</v>
      </c>
      <c r="O11" s="29">
        <f t="shared" si="2"/>
        <v>8</v>
      </c>
      <c r="P11" s="13" t="str">
        <f t="shared" si="3"/>
        <v>Medium</v>
      </c>
      <c r="Q11" s="11" t="s">
        <v>171</v>
      </c>
      <c r="R11" s="11" t="s">
        <v>188</v>
      </c>
    </row>
    <row r="12" spans="1:18" ht="39.6" x14ac:dyDescent="0.3">
      <c r="A12" s="10" t="s">
        <v>218</v>
      </c>
      <c r="B12" s="10" t="s">
        <v>100</v>
      </c>
      <c r="C12" s="10" t="s">
        <v>101</v>
      </c>
      <c r="D12" s="11" t="s">
        <v>219</v>
      </c>
      <c r="E12" s="11" t="s">
        <v>220</v>
      </c>
      <c r="F12" s="11" t="s">
        <v>221</v>
      </c>
      <c r="G12" s="28">
        <v>3</v>
      </c>
      <c r="H12" s="28">
        <v>3</v>
      </c>
      <c r="I12" s="29">
        <f t="shared" si="0"/>
        <v>9</v>
      </c>
      <c r="J12" s="13" t="str">
        <f t="shared" si="1"/>
        <v>Medium</v>
      </c>
      <c r="K12" s="10" t="s">
        <v>80</v>
      </c>
      <c r="L12" s="11" t="s">
        <v>222</v>
      </c>
      <c r="M12" s="28">
        <v>2</v>
      </c>
      <c r="N12" s="28">
        <v>3</v>
      </c>
      <c r="O12" s="29">
        <f t="shared" si="2"/>
        <v>6</v>
      </c>
      <c r="P12" s="12" t="str">
        <f t="shared" si="3"/>
        <v>Low</v>
      </c>
      <c r="Q12" s="11" t="s">
        <v>187</v>
      </c>
      <c r="R12" s="11" t="s">
        <v>188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7"/>
  <sheetViews>
    <sheetView showGridLines="0" tabSelected="1" zoomScaleNormal="100" workbookViewId="0">
      <pane ySplit="4" topLeftCell="A5" activePane="bottomLeft" state="frozen"/>
      <selection pane="bottomLeft" activeCell="A100" sqref="A100"/>
    </sheetView>
  </sheetViews>
  <sheetFormatPr defaultColWidth="8.6640625" defaultRowHeight="14.4" x14ac:dyDescent="0.3"/>
  <cols>
    <col min="1" max="1" width="7" customWidth="1"/>
    <col min="2" max="2" width="20" customWidth="1"/>
    <col min="3" max="3" width="9" customWidth="1"/>
    <col min="4" max="4" width="32" customWidth="1"/>
    <col min="5" max="5" width="52" customWidth="1"/>
    <col min="6" max="6" width="9" customWidth="1"/>
    <col min="7" max="7" width="50" customWidth="1"/>
    <col min="8" max="8" width="22" customWidth="1"/>
  </cols>
  <sheetData>
    <row r="1" spans="1:8" ht="16.8" x14ac:dyDescent="0.3">
      <c r="A1" s="23" t="s">
        <v>223</v>
      </c>
    </row>
    <row r="2" spans="1:8" x14ac:dyDescent="0.3">
      <c r="A2" s="27" t="s">
        <v>224</v>
      </c>
    </row>
    <row r="4" spans="1:8" x14ac:dyDescent="0.3">
      <c r="A4" s="9" t="s">
        <v>225</v>
      </c>
      <c r="B4" s="9" t="s">
        <v>226</v>
      </c>
      <c r="C4" s="9" t="s">
        <v>227</v>
      </c>
      <c r="D4" s="9" t="s">
        <v>228</v>
      </c>
      <c r="E4" s="9" t="s">
        <v>229</v>
      </c>
      <c r="F4" s="9" t="s">
        <v>230</v>
      </c>
      <c r="G4" s="9" t="s">
        <v>231</v>
      </c>
      <c r="H4" s="9" t="s">
        <v>232</v>
      </c>
    </row>
    <row r="5" spans="1:8" ht="66" x14ac:dyDescent="0.3">
      <c r="A5" s="30">
        <v>5</v>
      </c>
      <c r="B5" s="10" t="s">
        <v>233</v>
      </c>
      <c r="C5" s="24" t="s">
        <v>234</v>
      </c>
      <c r="D5" s="11" t="s">
        <v>235</v>
      </c>
      <c r="E5" s="11" t="s">
        <v>236</v>
      </c>
      <c r="F5" s="31" t="s">
        <v>237</v>
      </c>
      <c r="G5" s="11" t="s">
        <v>238</v>
      </c>
      <c r="H5" s="32" t="s">
        <v>239</v>
      </c>
    </row>
    <row r="6" spans="1:8" ht="39.6" x14ac:dyDescent="0.3">
      <c r="A6" s="30"/>
      <c r="B6" s="10"/>
      <c r="C6" s="24" t="s">
        <v>240</v>
      </c>
      <c r="D6" s="11" t="s">
        <v>241</v>
      </c>
      <c r="E6" s="11" t="s">
        <v>242</v>
      </c>
      <c r="F6" s="31" t="s">
        <v>237</v>
      </c>
      <c r="G6" s="11" t="s">
        <v>243</v>
      </c>
      <c r="H6" s="32" t="s">
        <v>239</v>
      </c>
    </row>
    <row r="7" spans="1:8" ht="26.4" x14ac:dyDescent="0.3">
      <c r="A7" s="30"/>
      <c r="B7" s="10"/>
      <c r="C7" s="24" t="s">
        <v>244</v>
      </c>
      <c r="D7" s="11" t="s">
        <v>245</v>
      </c>
      <c r="E7" s="11" t="s">
        <v>246</v>
      </c>
      <c r="F7" s="31" t="s">
        <v>237</v>
      </c>
      <c r="G7" s="11" t="s">
        <v>247</v>
      </c>
      <c r="H7" s="33" t="s">
        <v>248</v>
      </c>
    </row>
    <row r="8" spans="1:8" ht="52.8" x14ac:dyDescent="0.3">
      <c r="A8" s="30"/>
      <c r="B8" s="10"/>
      <c r="C8" s="24" t="s">
        <v>249</v>
      </c>
      <c r="D8" s="11" t="s">
        <v>250</v>
      </c>
      <c r="E8" s="11" t="s">
        <v>251</v>
      </c>
      <c r="F8" s="31" t="s">
        <v>237</v>
      </c>
      <c r="G8" s="11" t="s">
        <v>252</v>
      </c>
      <c r="H8" s="32" t="s">
        <v>239</v>
      </c>
    </row>
    <row r="9" spans="1:8" ht="39.6" x14ac:dyDescent="0.3">
      <c r="A9" s="30"/>
      <c r="B9" s="10"/>
      <c r="C9" s="24" t="s">
        <v>253</v>
      </c>
      <c r="D9" s="11" t="s">
        <v>254</v>
      </c>
      <c r="E9" s="11" t="s">
        <v>255</v>
      </c>
      <c r="F9" s="31" t="s">
        <v>237</v>
      </c>
      <c r="G9" s="11" t="s">
        <v>256</v>
      </c>
      <c r="H9" s="34" t="s">
        <v>257</v>
      </c>
    </row>
    <row r="10" spans="1:8" ht="39.6" x14ac:dyDescent="0.3">
      <c r="A10" s="30"/>
      <c r="B10" s="10"/>
      <c r="C10" s="24" t="s">
        <v>258</v>
      </c>
      <c r="D10" s="11" t="s">
        <v>259</v>
      </c>
      <c r="E10" s="11" t="s">
        <v>260</v>
      </c>
      <c r="F10" s="31" t="s">
        <v>237</v>
      </c>
      <c r="G10" s="11" t="s">
        <v>261</v>
      </c>
      <c r="H10" s="33" t="s">
        <v>248</v>
      </c>
    </row>
    <row r="11" spans="1:8" ht="26.4" x14ac:dyDescent="0.3">
      <c r="A11" s="30"/>
      <c r="B11" s="10"/>
      <c r="C11" s="24" t="s">
        <v>262</v>
      </c>
      <c r="D11" s="11" t="s">
        <v>263</v>
      </c>
      <c r="E11" s="11" t="s">
        <v>264</v>
      </c>
      <c r="F11" s="31" t="s">
        <v>237</v>
      </c>
      <c r="G11" s="11" t="s">
        <v>265</v>
      </c>
      <c r="H11" s="33" t="s">
        <v>248</v>
      </c>
    </row>
    <row r="12" spans="1:8" ht="26.4" x14ac:dyDescent="0.3">
      <c r="A12" s="30"/>
      <c r="B12" s="10"/>
      <c r="C12" s="24" t="s">
        <v>266</v>
      </c>
      <c r="D12" s="11" t="s">
        <v>267</v>
      </c>
      <c r="E12" s="11" t="s">
        <v>268</v>
      </c>
      <c r="F12" s="31" t="s">
        <v>237</v>
      </c>
      <c r="G12" s="11" t="s">
        <v>269</v>
      </c>
      <c r="H12" s="33" t="s">
        <v>248</v>
      </c>
    </row>
    <row r="13" spans="1:8" ht="39.6" x14ac:dyDescent="0.3">
      <c r="A13" s="30"/>
      <c r="B13" s="10"/>
      <c r="C13" s="24" t="s">
        <v>270</v>
      </c>
      <c r="D13" s="11" t="s">
        <v>271</v>
      </c>
      <c r="E13" s="11" t="s">
        <v>272</v>
      </c>
      <c r="F13" s="31" t="s">
        <v>237</v>
      </c>
      <c r="G13" s="11" t="s">
        <v>273</v>
      </c>
      <c r="H13" s="34" t="s">
        <v>257</v>
      </c>
    </row>
    <row r="14" spans="1:8" ht="39.6" x14ac:dyDescent="0.3">
      <c r="A14" s="30"/>
      <c r="B14" s="10"/>
      <c r="C14" s="24" t="s">
        <v>274</v>
      </c>
      <c r="D14" s="11" t="s">
        <v>275</v>
      </c>
      <c r="E14" s="11" t="s">
        <v>276</v>
      </c>
      <c r="F14" s="31" t="s">
        <v>237</v>
      </c>
      <c r="G14" s="11" t="s">
        <v>277</v>
      </c>
      <c r="H14" s="32" t="s">
        <v>239</v>
      </c>
    </row>
    <row r="15" spans="1:8" ht="52.8" x14ac:dyDescent="0.3">
      <c r="A15" s="30"/>
      <c r="B15" s="10"/>
      <c r="C15" s="24" t="s">
        <v>278</v>
      </c>
      <c r="D15" s="11" t="s">
        <v>279</v>
      </c>
      <c r="E15" s="11" t="s">
        <v>280</v>
      </c>
      <c r="F15" s="31" t="s">
        <v>237</v>
      </c>
      <c r="G15" s="11" t="s">
        <v>281</v>
      </c>
      <c r="H15" s="33" t="s">
        <v>248</v>
      </c>
    </row>
    <row r="16" spans="1:8" ht="52.8" x14ac:dyDescent="0.3">
      <c r="A16" s="30"/>
      <c r="B16" s="10"/>
      <c r="C16" s="24" t="s">
        <v>282</v>
      </c>
      <c r="D16" s="11" t="s">
        <v>283</v>
      </c>
      <c r="E16" s="11" t="s">
        <v>284</v>
      </c>
      <c r="F16" s="31" t="s">
        <v>237</v>
      </c>
      <c r="G16" s="11" t="s">
        <v>285</v>
      </c>
      <c r="H16" s="32" t="s">
        <v>239</v>
      </c>
    </row>
    <row r="17" spans="1:8" ht="52.8" x14ac:dyDescent="0.3">
      <c r="A17" s="30"/>
      <c r="B17" s="10"/>
      <c r="C17" s="24" t="s">
        <v>286</v>
      </c>
      <c r="D17" s="11" t="s">
        <v>287</v>
      </c>
      <c r="E17" s="11" t="s">
        <v>288</v>
      </c>
      <c r="F17" s="31" t="s">
        <v>237</v>
      </c>
      <c r="G17" s="11" t="s">
        <v>289</v>
      </c>
      <c r="H17" s="32" t="s">
        <v>239</v>
      </c>
    </row>
    <row r="18" spans="1:8" ht="39.6" x14ac:dyDescent="0.3">
      <c r="A18" s="30"/>
      <c r="B18" s="10"/>
      <c r="C18" s="24" t="s">
        <v>290</v>
      </c>
      <c r="D18" s="11" t="s">
        <v>291</v>
      </c>
      <c r="E18" s="11" t="s">
        <v>292</v>
      </c>
      <c r="F18" s="31" t="s">
        <v>237</v>
      </c>
      <c r="G18" s="11" t="s">
        <v>293</v>
      </c>
      <c r="H18" s="34" t="s">
        <v>257</v>
      </c>
    </row>
    <row r="19" spans="1:8" ht="52.8" x14ac:dyDescent="0.3">
      <c r="A19" s="30"/>
      <c r="B19" s="10"/>
      <c r="C19" s="24" t="s">
        <v>294</v>
      </c>
      <c r="D19" s="11" t="s">
        <v>295</v>
      </c>
      <c r="E19" s="11" t="s">
        <v>296</v>
      </c>
      <c r="F19" s="31" t="s">
        <v>237</v>
      </c>
      <c r="G19" s="11" t="s">
        <v>297</v>
      </c>
      <c r="H19" s="32" t="s">
        <v>239</v>
      </c>
    </row>
    <row r="20" spans="1:8" ht="26.4" x14ac:dyDescent="0.3">
      <c r="A20" s="30"/>
      <c r="B20" s="10"/>
      <c r="C20" s="24" t="s">
        <v>298</v>
      </c>
      <c r="D20" s="11" t="s">
        <v>299</v>
      </c>
      <c r="E20" s="11" t="s">
        <v>300</v>
      </c>
      <c r="F20" s="31" t="s">
        <v>237</v>
      </c>
      <c r="G20" s="11" t="s">
        <v>301</v>
      </c>
      <c r="H20" s="32" t="s">
        <v>239</v>
      </c>
    </row>
    <row r="21" spans="1:8" ht="52.8" x14ac:dyDescent="0.3">
      <c r="A21" s="30"/>
      <c r="B21" s="10"/>
      <c r="C21" s="24" t="s">
        <v>302</v>
      </c>
      <c r="D21" s="11" t="s">
        <v>303</v>
      </c>
      <c r="E21" s="11" t="s">
        <v>304</v>
      </c>
      <c r="F21" s="31" t="s">
        <v>237</v>
      </c>
      <c r="G21" s="11" t="s">
        <v>305</v>
      </c>
      <c r="H21" s="32" t="s">
        <v>239</v>
      </c>
    </row>
    <row r="22" spans="1:8" ht="52.8" x14ac:dyDescent="0.3">
      <c r="A22" s="30"/>
      <c r="B22" s="10"/>
      <c r="C22" s="24" t="s">
        <v>306</v>
      </c>
      <c r="D22" s="11" t="s">
        <v>307</v>
      </c>
      <c r="E22" s="11" t="s">
        <v>308</v>
      </c>
      <c r="F22" s="31" t="s">
        <v>237</v>
      </c>
      <c r="G22" s="11" t="s">
        <v>309</v>
      </c>
      <c r="H22" s="32" t="s">
        <v>239</v>
      </c>
    </row>
    <row r="23" spans="1:8" ht="39.6" x14ac:dyDescent="0.3">
      <c r="A23" s="30"/>
      <c r="B23" s="10"/>
      <c r="C23" s="24" t="s">
        <v>310</v>
      </c>
      <c r="D23" s="11" t="s">
        <v>311</v>
      </c>
      <c r="E23" s="11" t="s">
        <v>312</v>
      </c>
      <c r="F23" s="31" t="s">
        <v>237</v>
      </c>
      <c r="G23" s="11" t="s">
        <v>313</v>
      </c>
      <c r="H23" s="32" t="s">
        <v>239</v>
      </c>
    </row>
    <row r="24" spans="1:8" ht="39.6" x14ac:dyDescent="0.3">
      <c r="A24" s="30"/>
      <c r="B24" s="10"/>
      <c r="C24" s="24" t="s">
        <v>314</v>
      </c>
      <c r="D24" s="11" t="s">
        <v>315</v>
      </c>
      <c r="E24" s="11" t="s">
        <v>316</v>
      </c>
      <c r="F24" s="31" t="s">
        <v>237</v>
      </c>
      <c r="G24" s="11" t="s">
        <v>317</v>
      </c>
      <c r="H24" s="32" t="s">
        <v>239</v>
      </c>
    </row>
    <row r="25" spans="1:8" ht="39.6" x14ac:dyDescent="0.3">
      <c r="A25" s="30"/>
      <c r="B25" s="10"/>
      <c r="C25" s="24" t="s">
        <v>318</v>
      </c>
      <c r="D25" s="11" t="s">
        <v>319</v>
      </c>
      <c r="E25" s="11" t="s">
        <v>320</v>
      </c>
      <c r="F25" s="31" t="s">
        <v>237</v>
      </c>
      <c r="G25" s="11" t="s">
        <v>321</v>
      </c>
      <c r="H25" s="34" t="s">
        <v>257</v>
      </c>
    </row>
    <row r="26" spans="1:8" ht="39.6" x14ac:dyDescent="0.3">
      <c r="A26" s="30"/>
      <c r="B26" s="10"/>
      <c r="C26" s="24" t="s">
        <v>322</v>
      </c>
      <c r="D26" s="11" t="s">
        <v>323</v>
      </c>
      <c r="E26" s="11" t="s">
        <v>324</v>
      </c>
      <c r="F26" s="31" t="s">
        <v>237</v>
      </c>
      <c r="G26" s="11" t="s">
        <v>325</v>
      </c>
      <c r="H26" s="32" t="s">
        <v>239</v>
      </c>
    </row>
    <row r="27" spans="1:8" ht="39.6" x14ac:dyDescent="0.3">
      <c r="A27" s="30"/>
      <c r="B27" s="10"/>
      <c r="C27" s="24" t="s">
        <v>326</v>
      </c>
      <c r="D27" s="11" t="s">
        <v>327</v>
      </c>
      <c r="E27" s="11" t="s">
        <v>328</v>
      </c>
      <c r="F27" s="31" t="s">
        <v>237</v>
      </c>
      <c r="G27" s="11" t="s">
        <v>329</v>
      </c>
      <c r="H27" s="35" t="s">
        <v>330</v>
      </c>
    </row>
    <row r="28" spans="1:8" ht="52.8" x14ac:dyDescent="0.3">
      <c r="A28" s="30"/>
      <c r="B28" s="10"/>
      <c r="C28" s="24" t="s">
        <v>331</v>
      </c>
      <c r="D28" s="11" t="s">
        <v>332</v>
      </c>
      <c r="E28" s="11" t="s">
        <v>333</v>
      </c>
      <c r="F28" s="31" t="s">
        <v>237</v>
      </c>
      <c r="G28" s="11" t="s">
        <v>334</v>
      </c>
      <c r="H28" s="32" t="s">
        <v>239</v>
      </c>
    </row>
    <row r="29" spans="1:8" ht="39.6" x14ac:dyDescent="0.3">
      <c r="A29" s="30"/>
      <c r="B29" s="10"/>
      <c r="C29" s="24" t="s">
        <v>335</v>
      </c>
      <c r="D29" s="11" t="s">
        <v>336</v>
      </c>
      <c r="E29" s="11" t="s">
        <v>337</v>
      </c>
      <c r="F29" s="31" t="s">
        <v>237</v>
      </c>
      <c r="G29" s="11" t="s">
        <v>338</v>
      </c>
      <c r="H29" s="32" t="s">
        <v>239</v>
      </c>
    </row>
    <row r="30" spans="1:8" ht="26.4" x14ac:dyDescent="0.3">
      <c r="A30" s="30"/>
      <c r="B30" s="10"/>
      <c r="C30" s="24" t="s">
        <v>339</v>
      </c>
      <c r="D30" s="11" t="s">
        <v>340</v>
      </c>
      <c r="E30" s="11" t="s">
        <v>341</v>
      </c>
      <c r="F30" s="31" t="s">
        <v>237</v>
      </c>
      <c r="G30" s="11" t="s">
        <v>342</v>
      </c>
      <c r="H30" s="32" t="s">
        <v>239</v>
      </c>
    </row>
    <row r="31" spans="1:8" ht="39.6" x14ac:dyDescent="0.3">
      <c r="A31" s="30"/>
      <c r="B31" s="10"/>
      <c r="C31" s="24" t="s">
        <v>343</v>
      </c>
      <c r="D31" s="11" t="s">
        <v>344</v>
      </c>
      <c r="E31" s="11" t="s">
        <v>345</v>
      </c>
      <c r="F31" s="31" t="s">
        <v>237</v>
      </c>
      <c r="G31" s="11" t="s">
        <v>346</v>
      </c>
      <c r="H31" s="32" t="s">
        <v>239</v>
      </c>
    </row>
    <row r="32" spans="1:8" ht="39.6" x14ac:dyDescent="0.3">
      <c r="A32" s="30"/>
      <c r="B32" s="10"/>
      <c r="C32" s="24" t="s">
        <v>347</v>
      </c>
      <c r="D32" s="11" t="s">
        <v>348</v>
      </c>
      <c r="E32" s="11" t="s">
        <v>349</v>
      </c>
      <c r="F32" s="31" t="s">
        <v>237</v>
      </c>
      <c r="G32" s="11" t="s">
        <v>350</v>
      </c>
      <c r="H32" s="32" t="s">
        <v>239</v>
      </c>
    </row>
    <row r="33" spans="1:8" ht="26.4" x14ac:dyDescent="0.3">
      <c r="A33" s="30"/>
      <c r="B33" s="10"/>
      <c r="C33" s="24" t="s">
        <v>351</v>
      </c>
      <c r="D33" s="11" t="s">
        <v>352</v>
      </c>
      <c r="E33" s="11" t="s">
        <v>353</v>
      </c>
      <c r="F33" s="31" t="s">
        <v>237</v>
      </c>
      <c r="G33" s="11" t="s">
        <v>354</v>
      </c>
      <c r="H33" s="33" t="s">
        <v>248</v>
      </c>
    </row>
    <row r="34" spans="1:8" ht="39.6" x14ac:dyDescent="0.3">
      <c r="A34" s="30"/>
      <c r="B34" s="10"/>
      <c r="C34" s="24" t="s">
        <v>355</v>
      </c>
      <c r="D34" s="11" t="s">
        <v>356</v>
      </c>
      <c r="E34" s="11" t="s">
        <v>357</v>
      </c>
      <c r="F34" s="31" t="s">
        <v>237</v>
      </c>
      <c r="G34" s="11" t="s">
        <v>358</v>
      </c>
      <c r="H34" s="35" t="s">
        <v>330</v>
      </c>
    </row>
    <row r="35" spans="1:8" ht="52.8" x14ac:dyDescent="0.3">
      <c r="A35" s="30"/>
      <c r="B35" s="10"/>
      <c r="C35" s="24" t="s">
        <v>359</v>
      </c>
      <c r="D35" s="11" t="s">
        <v>360</v>
      </c>
      <c r="E35" s="11" t="s">
        <v>361</v>
      </c>
      <c r="F35" s="31" t="s">
        <v>237</v>
      </c>
      <c r="G35" s="11" t="s">
        <v>362</v>
      </c>
      <c r="H35" s="34" t="s">
        <v>257</v>
      </c>
    </row>
    <row r="36" spans="1:8" ht="26.4" x14ac:dyDescent="0.3">
      <c r="A36" s="30"/>
      <c r="B36" s="10"/>
      <c r="C36" s="24" t="s">
        <v>363</v>
      </c>
      <c r="D36" s="11" t="s">
        <v>364</v>
      </c>
      <c r="E36" s="11" t="s">
        <v>365</v>
      </c>
      <c r="F36" s="31" t="s">
        <v>237</v>
      </c>
      <c r="G36" s="11" t="s">
        <v>366</v>
      </c>
      <c r="H36" s="34" t="s">
        <v>257</v>
      </c>
    </row>
    <row r="37" spans="1:8" ht="39.6" x14ac:dyDescent="0.3">
      <c r="A37" s="30"/>
      <c r="B37" s="10"/>
      <c r="C37" s="24" t="s">
        <v>367</v>
      </c>
      <c r="D37" s="11" t="s">
        <v>368</v>
      </c>
      <c r="E37" s="11" t="s">
        <v>369</v>
      </c>
      <c r="F37" s="31" t="s">
        <v>237</v>
      </c>
      <c r="G37" s="11" t="s">
        <v>370</v>
      </c>
      <c r="H37" s="34" t="s">
        <v>257</v>
      </c>
    </row>
    <row r="38" spans="1:8" ht="52.8" x14ac:dyDescent="0.3">
      <c r="A38" s="30"/>
      <c r="B38" s="10"/>
      <c r="C38" s="24" t="s">
        <v>371</v>
      </c>
      <c r="D38" s="11" t="s">
        <v>372</v>
      </c>
      <c r="E38" s="11" t="s">
        <v>373</v>
      </c>
      <c r="F38" s="31" t="s">
        <v>237</v>
      </c>
      <c r="G38" s="11" t="s">
        <v>374</v>
      </c>
      <c r="H38" s="34" t="s">
        <v>257</v>
      </c>
    </row>
    <row r="39" spans="1:8" ht="52.8" x14ac:dyDescent="0.3">
      <c r="A39" s="30"/>
      <c r="B39" s="10"/>
      <c r="C39" s="24" t="s">
        <v>375</v>
      </c>
      <c r="D39" s="11" t="s">
        <v>376</v>
      </c>
      <c r="E39" s="11" t="s">
        <v>377</v>
      </c>
      <c r="F39" s="31" t="s">
        <v>237</v>
      </c>
      <c r="G39" s="11" t="s">
        <v>378</v>
      </c>
      <c r="H39" s="34" t="s">
        <v>257</v>
      </c>
    </row>
    <row r="40" spans="1:8" ht="39.6" x14ac:dyDescent="0.3">
      <c r="A40" s="30"/>
      <c r="B40" s="10"/>
      <c r="C40" s="24" t="s">
        <v>379</v>
      </c>
      <c r="D40" s="11" t="s">
        <v>380</v>
      </c>
      <c r="E40" s="11" t="s">
        <v>381</v>
      </c>
      <c r="F40" s="31" t="s">
        <v>237</v>
      </c>
      <c r="G40" s="11" t="s">
        <v>382</v>
      </c>
      <c r="H40" s="34" t="s">
        <v>257</v>
      </c>
    </row>
    <row r="41" spans="1:8" ht="39.6" x14ac:dyDescent="0.3">
      <c r="A41" s="30"/>
      <c r="B41" s="10"/>
      <c r="C41" s="24" t="s">
        <v>383</v>
      </c>
      <c r="D41" s="11" t="s">
        <v>384</v>
      </c>
      <c r="E41" s="11" t="s">
        <v>385</v>
      </c>
      <c r="F41" s="31" t="s">
        <v>237</v>
      </c>
      <c r="G41" s="11" t="s">
        <v>386</v>
      </c>
      <c r="H41" s="34" t="s">
        <v>257</v>
      </c>
    </row>
    <row r="42" spans="1:8" ht="79.2" x14ac:dyDescent="0.3">
      <c r="A42" s="30">
        <v>6</v>
      </c>
      <c r="B42" s="10" t="s">
        <v>387</v>
      </c>
      <c r="C42" s="24" t="s">
        <v>388</v>
      </c>
      <c r="D42" s="11" t="s">
        <v>389</v>
      </c>
      <c r="E42" s="11" t="s">
        <v>390</v>
      </c>
      <c r="F42" s="31" t="s">
        <v>237</v>
      </c>
      <c r="G42" s="11" t="s">
        <v>391</v>
      </c>
      <c r="H42" s="33" t="s">
        <v>248</v>
      </c>
    </row>
    <row r="43" spans="1:8" ht="39.6" x14ac:dyDescent="0.3">
      <c r="A43" s="30"/>
      <c r="B43" s="10"/>
      <c r="C43" s="24" t="s">
        <v>392</v>
      </c>
      <c r="D43" s="11" t="s">
        <v>393</v>
      </c>
      <c r="E43" s="11" t="s">
        <v>394</v>
      </c>
      <c r="F43" s="31" t="s">
        <v>237</v>
      </c>
      <c r="G43" s="11" t="s">
        <v>395</v>
      </c>
      <c r="H43" s="33" t="s">
        <v>248</v>
      </c>
    </row>
    <row r="44" spans="1:8" ht="66" x14ac:dyDescent="0.3">
      <c r="A44" s="30"/>
      <c r="B44" s="10"/>
      <c r="C44" s="24" t="s">
        <v>396</v>
      </c>
      <c r="D44" s="11" t="s">
        <v>397</v>
      </c>
      <c r="E44" s="11" t="s">
        <v>398</v>
      </c>
      <c r="F44" s="31" t="s">
        <v>237</v>
      </c>
      <c r="G44" s="11" t="s">
        <v>399</v>
      </c>
      <c r="H44" s="33" t="s">
        <v>248</v>
      </c>
    </row>
    <row r="45" spans="1:8" ht="52.8" x14ac:dyDescent="0.3">
      <c r="A45" s="30"/>
      <c r="B45" s="10"/>
      <c r="C45" s="24" t="s">
        <v>400</v>
      </c>
      <c r="D45" s="11" t="s">
        <v>401</v>
      </c>
      <c r="E45" s="11" t="s">
        <v>402</v>
      </c>
      <c r="F45" s="31" t="s">
        <v>237</v>
      </c>
      <c r="G45" s="11" t="s">
        <v>403</v>
      </c>
      <c r="H45" s="33" t="s">
        <v>248</v>
      </c>
    </row>
    <row r="46" spans="1:8" ht="52.8" x14ac:dyDescent="0.3">
      <c r="A46" s="30"/>
      <c r="B46" s="10"/>
      <c r="C46" s="24" t="s">
        <v>404</v>
      </c>
      <c r="D46" s="11" t="s">
        <v>405</v>
      </c>
      <c r="E46" s="11" t="s">
        <v>406</v>
      </c>
      <c r="F46" s="31" t="s">
        <v>237</v>
      </c>
      <c r="G46" s="11" t="s">
        <v>407</v>
      </c>
      <c r="H46" s="33" t="s">
        <v>248</v>
      </c>
    </row>
    <row r="47" spans="1:8" ht="52.8" x14ac:dyDescent="0.3">
      <c r="A47" s="30"/>
      <c r="B47" s="10"/>
      <c r="C47" s="24" t="s">
        <v>408</v>
      </c>
      <c r="D47" s="11" t="s">
        <v>409</v>
      </c>
      <c r="E47" s="11" t="s">
        <v>410</v>
      </c>
      <c r="F47" s="31" t="s">
        <v>237</v>
      </c>
      <c r="G47" s="11" t="s">
        <v>411</v>
      </c>
      <c r="H47" s="33" t="s">
        <v>248</v>
      </c>
    </row>
    <row r="48" spans="1:8" ht="39.6" x14ac:dyDescent="0.3">
      <c r="A48" s="30"/>
      <c r="B48" s="10"/>
      <c r="C48" s="24" t="s">
        <v>412</v>
      </c>
      <c r="D48" s="11" t="s">
        <v>413</v>
      </c>
      <c r="E48" s="11" t="s">
        <v>414</v>
      </c>
      <c r="F48" s="31" t="s">
        <v>237</v>
      </c>
      <c r="G48" s="11" t="s">
        <v>415</v>
      </c>
      <c r="H48" s="34" t="s">
        <v>257</v>
      </c>
    </row>
    <row r="49" spans="1:8" ht="39.6" x14ac:dyDescent="0.3">
      <c r="A49" s="30"/>
      <c r="B49" s="10"/>
      <c r="C49" s="24" t="s">
        <v>416</v>
      </c>
      <c r="D49" s="11" t="s">
        <v>417</v>
      </c>
      <c r="E49" s="11" t="s">
        <v>418</v>
      </c>
      <c r="F49" s="31" t="s">
        <v>237</v>
      </c>
      <c r="G49" s="11" t="s">
        <v>419</v>
      </c>
      <c r="H49" s="32" t="s">
        <v>239</v>
      </c>
    </row>
    <row r="50" spans="1:8" ht="26.4" x14ac:dyDescent="0.3">
      <c r="A50" s="30">
        <v>7</v>
      </c>
      <c r="B50" s="10" t="s">
        <v>420</v>
      </c>
      <c r="C50" s="24" t="s">
        <v>421</v>
      </c>
      <c r="D50" s="11" t="s">
        <v>422</v>
      </c>
      <c r="E50" s="11" t="s">
        <v>423</v>
      </c>
      <c r="F50" s="31" t="s">
        <v>237</v>
      </c>
      <c r="G50" s="11" t="s">
        <v>424</v>
      </c>
      <c r="H50" s="33" t="s">
        <v>248</v>
      </c>
    </row>
    <row r="51" spans="1:8" ht="26.4" x14ac:dyDescent="0.3">
      <c r="A51" s="30"/>
      <c r="B51" s="10"/>
      <c r="C51" s="24" t="s">
        <v>425</v>
      </c>
      <c r="D51" s="11" t="s">
        <v>426</v>
      </c>
      <c r="E51" s="11" t="s">
        <v>427</v>
      </c>
      <c r="F51" s="31" t="s">
        <v>237</v>
      </c>
      <c r="G51" s="11" t="s">
        <v>428</v>
      </c>
      <c r="H51" s="33" t="s">
        <v>248</v>
      </c>
    </row>
    <row r="52" spans="1:8" ht="26.4" x14ac:dyDescent="0.3">
      <c r="A52" s="30"/>
      <c r="B52" s="10"/>
      <c r="C52" s="24" t="s">
        <v>429</v>
      </c>
      <c r="D52" s="11" t="s">
        <v>430</v>
      </c>
      <c r="E52" s="11" t="s">
        <v>431</v>
      </c>
      <c r="F52" s="31" t="s">
        <v>237</v>
      </c>
      <c r="G52" s="11" t="s">
        <v>432</v>
      </c>
      <c r="H52" s="33" t="s">
        <v>248</v>
      </c>
    </row>
    <row r="53" spans="1:8" ht="26.4" x14ac:dyDescent="0.3">
      <c r="A53" s="30"/>
      <c r="B53" s="10"/>
      <c r="C53" s="24" t="s">
        <v>433</v>
      </c>
      <c r="D53" s="11" t="s">
        <v>434</v>
      </c>
      <c r="E53" s="11" t="s">
        <v>435</v>
      </c>
      <c r="F53" s="31" t="s">
        <v>237</v>
      </c>
      <c r="G53" s="11" t="s">
        <v>436</v>
      </c>
      <c r="H53" s="33" t="s">
        <v>248</v>
      </c>
    </row>
    <row r="54" spans="1:8" ht="52.8" x14ac:dyDescent="0.3">
      <c r="A54" s="30"/>
      <c r="B54" s="10"/>
      <c r="C54" s="24" t="s">
        <v>437</v>
      </c>
      <c r="D54" s="11" t="s">
        <v>438</v>
      </c>
      <c r="E54" s="11" t="s">
        <v>439</v>
      </c>
      <c r="F54" s="31" t="s">
        <v>237</v>
      </c>
      <c r="G54" s="11" t="s">
        <v>440</v>
      </c>
      <c r="H54" s="33" t="s">
        <v>248</v>
      </c>
    </row>
    <row r="55" spans="1:8" ht="26.4" x14ac:dyDescent="0.3">
      <c r="A55" s="30"/>
      <c r="B55" s="10"/>
      <c r="C55" s="24" t="s">
        <v>441</v>
      </c>
      <c r="D55" s="11" t="s">
        <v>442</v>
      </c>
      <c r="E55" s="11" t="s">
        <v>443</v>
      </c>
      <c r="F55" s="31" t="s">
        <v>237</v>
      </c>
      <c r="G55" s="11" t="s">
        <v>444</v>
      </c>
      <c r="H55" s="33" t="s">
        <v>248</v>
      </c>
    </row>
    <row r="56" spans="1:8" ht="39.6" x14ac:dyDescent="0.3">
      <c r="A56" s="30"/>
      <c r="B56" s="10"/>
      <c r="C56" s="24" t="s">
        <v>445</v>
      </c>
      <c r="D56" s="11" t="s">
        <v>446</v>
      </c>
      <c r="E56" s="11" t="s">
        <v>447</v>
      </c>
      <c r="F56" s="31" t="s">
        <v>237</v>
      </c>
      <c r="G56" s="11" t="s">
        <v>448</v>
      </c>
      <c r="H56" s="34" t="s">
        <v>257</v>
      </c>
    </row>
    <row r="57" spans="1:8" x14ac:dyDescent="0.3">
      <c r="A57" s="30"/>
      <c r="B57" s="10"/>
      <c r="C57" s="24" t="s">
        <v>449</v>
      </c>
      <c r="D57" s="11" t="s">
        <v>450</v>
      </c>
      <c r="E57" s="11" t="s">
        <v>451</v>
      </c>
      <c r="F57" s="31" t="s">
        <v>237</v>
      </c>
      <c r="G57" s="11" t="s">
        <v>452</v>
      </c>
      <c r="H57" s="33" t="s">
        <v>248</v>
      </c>
    </row>
    <row r="58" spans="1:8" ht="26.4" x14ac:dyDescent="0.3">
      <c r="A58" s="30"/>
      <c r="B58" s="10"/>
      <c r="C58" s="24" t="s">
        <v>453</v>
      </c>
      <c r="D58" s="11" t="s">
        <v>454</v>
      </c>
      <c r="E58" s="11" t="s">
        <v>455</v>
      </c>
      <c r="F58" s="31" t="s">
        <v>237</v>
      </c>
      <c r="G58" s="11" t="s">
        <v>456</v>
      </c>
      <c r="H58" s="34" t="s">
        <v>257</v>
      </c>
    </row>
    <row r="59" spans="1:8" ht="52.8" x14ac:dyDescent="0.3">
      <c r="A59" s="30"/>
      <c r="B59" s="10"/>
      <c r="C59" s="24" t="s">
        <v>457</v>
      </c>
      <c r="D59" s="11" t="s">
        <v>458</v>
      </c>
      <c r="E59" s="11" t="s">
        <v>459</v>
      </c>
      <c r="F59" s="31" t="s">
        <v>237</v>
      </c>
      <c r="G59" s="11" t="s">
        <v>460</v>
      </c>
      <c r="H59" s="34" t="s">
        <v>257</v>
      </c>
    </row>
    <row r="60" spans="1:8" ht="39.6" x14ac:dyDescent="0.3">
      <c r="A60" s="30"/>
      <c r="B60" s="10"/>
      <c r="C60" s="24" t="s">
        <v>461</v>
      </c>
      <c r="D60" s="11" t="s">
        <v>462</v>
      </c>
      <c r="E60" s="11" t="s">
        <v>463</v>
      </c>
      <c r="F60" s="31" t="s">
        <v>237</v>
      </c>
      <c r="G60" s="11" t="s">
        <v>464</v>
      </c>
      <c r="H60" s="33" t="s">
        <v>248</v>
      </c>
    </row>
    <row r="61" spans="1:8" ht="39.6" x14ac:dyDescent="0.3">
      <c r="A61" s="30"/>
      <c r="B61" s="10"/>
      <c r="C61" s="24" t="s">
        <v>465</v>
      </c>
      <c r="D61" s="11" t="s">
        <v>466</v>
      </c>
      <c r="E61" s="11" t="s">
        <v>467</v>
      </c>
      <c r="F61" s="31" t="s">
        <v>237</v>
      </c>
      <c r="G61" s="11" t="s">
        <v>468</v>
      </c>
      <c r="H61" s="33" t="s">
        <v>248</v>
      </c>
    </row>
    <row r="62" spans="1:8" ht="26.4" x14ac:dyDescent="0.3">
      <c r="A62" s="30"/>
      <c r="B62" s="10"/>
      <c r="C62" s="24" t="s">
        <v>469</v>
      </c>
      <c r="D62" s="11" t="s">
        <v>470</v>
      </c>
      <c r="E62" s="11" t="s">
        <v>471</v>
      </c>
      <c r="F62" s="31" t="s">
        <v>237</v>
      </c>
      <c r="G62" s="11" t="s">
        <v>472</v>
      </c>
      <c r="H62" s="33" t="s">
        <v>248</v>
      </c>
    </row>
    <row r="63" spans="1:8" ht="52.8" x14ac:dyDescent="0.3">
      <c r="A63" s="30"/>
      <c r="B63" s="10"/>
      <c r="C63" s="24" t="s">
        <v>473</v>
      </c>
      <c r="D63" s="11" t="s">
        <v>474</v>
      </c>
      <c r="E63" s="11" t="s">
        <v>475</v>
      </c>
      <c r="F63" s="31" t="s">
        <v>237</v>
      </c>
      <c r="G63" s="11" t="s">
        <v>476</v>
      </c>
      <c r="H63" s="34" t="s">
        <v>257</v>
      </c>
    </row>
    <row r="64" spans="1:8" ht="52.8" x14ac:dyDescent="0.3">
      <c r="A64" s="30">
        <v>8</v>
      </c>
      <c r="B64" s="10" t="s">
        <v>477</v>
      </c>
      <c r="C64" s="24" t="s">
        <v>478</v>
      </c>
      <c r="D64" s="11" t="s">
        <v>479</v>
      </c>
      <c r="E64" s="11" t="s">
        <v>480</v>
      </c>
      <c r="F64" s="31" t="s">
        <v>237</v>
      </c>
      <c r="G64" s="11" t="s">
        <v>481</v>
      </c>
      <c r="H64" s="34" t="s">
        <v>257</v>
      </c>
    </row>
    <row r="65" spans="1:8" ht="26.4" x14ac:dyDescent="0.3">
      <c r="A65" s="30"/>
      <c r="B65" s="10"/>
      <c r="C65" s="24" t="s">
        <v>482</v>
      </c>
      <c r="D65" s="11" t="s">
        <v>483</v>
      </c>
      <c r="E65" s="11" t="s">
        <v>484</v>
      </c>
      <c r="F65" s="31" t="s">
        <v>237</v>
      </c>
      <c r="G65" s="11" t="s">
        <v>485</v>
      </c>
      <c r="H65" s="32" t="s">
        <v>239</v>
      </c>
    </row>
    <row r="66" spans="1:8" ht="39.6" x14ac:dyDescent="0.3">
      <c r="A66" s="30"/>
      <c r="B66" s="10"/>
      <c r="C66" s="24" t="s">
        <v>486</v>
      </c>
      <c r="D66" s="11" t="s">
        <v>487</v>
      </c>
      <c r="E66" s="11" t="s">
        <v>488</v>
      </c>
      <c r="F66" s="31" t="s">
        <v>237</v>
      </c>
      <c r="G66" s="11" t="s">
        <v>489</v>
      </c>
      <c r="H66" s="32" t="s">
        <v>239</v>
      </c>
    </row>
    <row r="67" spans="1:8" ht="39.6" x14ac:dyDescent="0.3">
      <c r="A67" s="30"/>
      <c r="B67" s="10"/>
      <c r="C67" s="24" t="s">
        <v>490</v>
      </c>
      <c r="D67" s="11" t="s">
        <v>491</v>
      </c>
      <c r="E67" s="11" t="s">
        <v>492</v>
      </c>
      <c r="F67" s="31" t="s">
        <v>237</v>
      </c>
      <c r="G67" s="11" t="s">
        <v>493</v>
      </c>
      <c r="H67" s="33" t="s">
        <v>248</v>
      </c>
    </row>
    <row r="68" spans="1:8" ht="39.6" x14ac:dyDescent="0.3">
      <c r="A68" s="30"/>
      <c r="B68" s="10"/>
      <c r="C68" s="24" t="s">
        <v>494</v>
      </c>
      <c r="D68" s="11" t="s">
        <v>495</v>
      </c>
      <c r="E68" s="11" t="s">
        <v>496</v>
      </c>
      <c r="F68" s="31" t="s">
        <v>237</v>
      </c>
      <c r="G68" s="11" t="s">
        <v>497</v>
      </c>
      <c r="H68" s="32" t="s">
        <v>239</v>
      </c>
    </row>
    <row r="69" spans="1:8" ht="26.4" x14ac:dyDescent="0.3">
      <c r="A69" s="30"/>
      <c r="B69" s="10"/>
      <c r="C69" s="24" t="s">
        <v>498</v>
      </c>
      <c r="D69" s="11" t="s">
        <v>499</v>
      </c>
      <c r="E69" s="11" t="s">
        <v>500</v>
      </c>
      <c r="F69" s="31" t="s">
        <v>237</v>
      </c>
      <c r="G69" s="11" t="s">
        <v>501</v>
      </c>
      <c r="H69" s="33" t="s">
        <v>248</v>
      </c>
    </row>
    <row r="70" spans="1:8" ht="39.6" x14ac:dyDescent="0.3">
      <c r="A70" s="30"/>
      <c r="B70" s="10"/>
      <c r="C70" s="24" t="s">
        <v>502</v>
      </c>
      <c r="D70" s="11" t="s">
        <v>503</v>
      </c>
      <c r="E70" s="11" t="s">
        <v>504</v>
      </c>
      <c r="F70" s="31" t="s">
        <v>237</v>
      </c>
      <c r="G70" s="11" t="s">
        <v>505</v>
      </c>
      <c r="H70" s="34" t="s">
        <v>257</v>
      </c>
    </row>
    <row r="71" spans="1:8" ht="52.8" x14ac:dyDescent="0.3">
      <c r="A71" s="30"/>
      <c r="B71" s="10"/>
      <c r="C71" s="24" t="s">
        <v>506</v>
      </c>
      <c r="D71" s="11" t="s">
        <v>507</v>
      </c>
      <c r="E71" s="11" t="s">
        <v>508</v>
      </c>
      <c r="F71" s="31" t="s">
        <v>237</v>
      </c>
      <c r="G71" s="11" t="s">
        <v>509</v>
      </c>
      <c r="H71" s="35" t="s">
        <v>330</v>
      </c>
    </row>
    <row r="72" spans="1:8" ht="52.8" x14ac:dyDescent="0.3">
      <c r="A72" s="30"/>
      <c r="B72" s="10"/>
      <c r="C72" s="24" t="s">
        <v>510</v>
      </c>
      <c r="D72" s="11" t="s">
        <v>511</v>
      </c>
      <c r="E72" s="11" t="s">
        <v>512</v>
      </c>
      <c r="F72" s="31" t="s">
        <v>237</v>
      </c>
      <c r="G72" s="11" t="s">
        <v>513</v>
      </c>
      <c r="H72" s="35" t="s">
        <v>330</v>
      </c>
    </row>
    <row r="73" spans="1:8" ht="26.4" x14ac:dyDescent="0.3">
      <c r="A73" s="30"/>
      <c r="B73" s="10"/>
      <c r="C73" s="24" t="s">
        <v>514</v>
      </c>
      <c r="D73" s="11" t="s">
        <v>515</v>
      </c>
      <c r="E73" s="11" t="s">
        <v>516</v>
      </c>
      <c r="F73" s="31" t="s">
        <v>237</v>
      </c>
      <c r="G73" s="11" t="s">
        <v>517</v>
      </c>
      <c r="H73" s="35" t="s">
        <v>330</v>
      </c>
    </row>
    <row r="74" spans="1:8" ht="52.8" x14ac:dyDescent="0.3">
      <c r="A74" s="30"/>
      <c r="B74" s="10"/>
      <c r="C74" s="24" t="s">
        <v>518</v>
      </c>
      <c r="D74" s="11" t="s">
        <v>519</v>
      </c>
      <c r="E74" s="11" t="s">
        <v>520</v>
      </c>
      <c r="F74" s="31" t="s">
        <v>237</v>
      </c>
      <c r="G74" s="11" t="s">
        <v>521</v>
      </c>
      <c r="H74" s="33" t="s">
        <v>248</v>
      </c>
    </row>
    <row r="75" spans="1:8" ht="39.6" x14ac:dyDescent="0.3">
      <c r="A75" s="30"/>
      <c r="B75" s="10"/>
      <c r="C75" s="24" t="s">
        <v>522</v>
      </c>
      <c r="D75" s="11" t="s">
        <v>523</v>
      </c>
      <c r="E75" s="11" t="s">
        <v>524</v>
      </c>
      <c r="F75" s="31" t="s">
        <v>237</v>
      </c>
      <c r="G75" s="11" t="s">
        <v>525</v>
      </c>
      <c r="H75" s="34" t="s">
        <v>257</v>
      </c>
    </row>
    <row r="76" spans="1:8" ht="39.6" x14ac:dyDescent="0.3">
      <c r="A76" s="30"/>
      <c r="B76" s="10"/>
      <c r="C76" s="24" t="s">
        <v>526</v>
      </c>
      <c r="D76" s="11" t="s">
        <v>527</v>
      </c>
      <c r="E76" s="11" t="s">
        <v>528</v>
      </c>
      <c r="F76" s="31" t="s">
        <v>237</v>
      </c>
      <c r="G76" s="11" t="s">
        <v>529</v>
      </c>
      <c r="H76" s="33" t="s">
        <v>248</v>
      </c>
    </row>
    <row r="77" spans="1:8" ht="26.4" x14ac:dyDescent="0.3">
      <c r="A77" s="30"/>
      <c r="B77" s="10"/>
      <c r="C77" s="24" t="s">
        <v>530</v>
      </c>
      <c r="D77" s="11" t="s">
        <v>531</v>
      </c>
      <c r="E77" s="11" t="s">
        <v>532</v>
      </c>
      <c r="F77" s="31" t="s">
        <v>237</v>
      </c>
      <c r="G77" s="11" t="s">
        <v>533</v>
      </c>
      <c r="H77" s="33" t="s">
        <v>248</v>
      </c>
    </row>
    <row r="78" spans="1:8" ht="39.6" x14ac:dyDescent="0.3">
      <c r="A78" s="30"/>
      <c r="B78" s="10"/>
      <c r="C78" s="24" t="s">
        <v>534</v>
      </c>
      <c r="D78" s="11" t="s">
        <v>535</v>
      </c>
      <c r="E78" s="11" t="s">
        <v>536</v>
      </c>
      <c r="F78" s="31" t="s">
        <v>237</v>
      </c>
      <c r="G78" s="11" t="s">
        <v>537</v>
      </c>
      <c r="H78" s="34" t="s">
        <v>257</v>
      </c>
    </row>
    <row r="79" spans="1:8" ht="39.6" x14ac:dyDescent="0.3">
      <c r="A79" s="30"/>
      <c r="B79" s="10"/>
      <c r="C79" s="24" t="s">
        <v>538</v>
      </c>
      <c r="D79" s="11" t="s">
        <v>539</v>
      </c>
      <c r="E79" s="11" t="s">
        <v>540</v>
      </c>
      <c r="F79" s="31" t="s">
        <v>237</v>
      </c>
      <c r="G79" s="11" t="s">
        <v>541</v>
      </c>
      <c r="H79" s="35" t="s">
        <v>330</v>
      </c>
    </row>
    <row r="80" spans="1:8" ht="26.4" x14ac:dyDescent="0.3">
      <c r="A80" s="30"/>
      <c r="B80" s="10"/>
      <c r="C80" s="24" t="s">
        <v>542</v>
      </c>
      <c r="D80" s="11" t="s">
        <v>543</v>
      </c>
      <c r="E80" s="11" t="s">
        <v>544</v>
      </c>
      <c r="F80" s="31" t="s">
        <v>237</v>
      </c>
      <c r="G80" s="11" t="s">
        <v>545</v>
      </c>
      <c r="H80" s="33" t="s">
        <v>248</v>
      </c>
    </row>
    <row r="81" spans="1:8" ht="39.6" x14ac:dyDescent="0.3">
      <c r="A81" s="30"/>
      <c r="B81" s="10"/>
      <c r="C81" s="24" t="s">
        <v>546</v>
      </c>
      <c r="D81" s="11" t="s">
        <v>547</v>
      </c>
      <c r="E81" s="11" t="s">
        <v>548</v>
      </c>
      <c r="F81" s="31" t="s">
        <v>237</v>
      </c>
      <c r="G81" s="11" t="s">
        <v>549</v>
      </c>
      <c r="H81" s="34" t="s">
        <v>257</v>
      </c>
    </row>
    <row r="82" spans="1:8" ht="39.6" x14ac:dyDescent="0.3">
      <c r="A82" s="30"/>
      <c r="B82" s="10"/>
      <c r="C82" s="24" t="s">
        <v>550</v>
      </c>
      <c r="D82" s="11" t="s">
        <v>551</v>
      </c>
      <c r="E82" s="11" t="s">
        <v>552</v>
      </c>
      <c r="F82" s="31" t="s">
        <v>237</v>
      </c>
      <c r="G82" s="11" t="s">
        <v>553</v>
      </c>
      <c r="H82" s="34" t="s">
        <v>257</v>
      </c>
    </row>
    <row r="83" spans="1:8" ht="39.6" x14ac:dyDescent="0.3">
      <c r="A83" s="30"/>
      <c r="B83" s="10"/>
      <c r="C83" s="24" t="s">
        <v>554</v>
      </c>
      <c r="D83" s="11" t="s">
        <v>555</v>
      </c>
      <c r="E83" s="11" t="s">
        <v>556</v>
      </c>
      <c r="F83" s="31" t="s">
        <v>237</v>
      </c>
      <c r="G83" s="11" t="s">
        <v>557</v>
      </c>
      <c r="H83" s="34" t="s">
        <v>257</v>
      </c>
    </row>
    <row r="84" spans="1:8" ht="39.6" x14ac:dyDescent="0.3">
      <c r="A84" s="30"/>
      <c r="B84" s="10"/>
      <c r="C84" s="24" t="s">
        <v>558</v>
      </c>
      <c r="D84" s="11" t="s">
        <v>559</v>
      </c>
      <c r="E84" s="11" t="s">
        <v>560</v>
      </c>
      <c r="F84" s="31" t="s">
        <v>237</v>
      </c>
      <c r="G84" s="11" t="s">
        <v>561</v>
      </c>
      <c r="H84" s="33" t="s">
        <v>248</v>
      </c>
    </row>
    <row r="85" spans="1:8" ht="26.4" x14ac:dyDescent="0.3">
      <c r="A85" s="30"/>
      <c r="B85" s="10"/>
      <c r="C85" s="24" t="s">
        <v>562</v>
      </c>
      <c r="D85" s="11" t="s">
        <v>563</v>
      </c>
      <c r="E85" s="11" t="s">
        <v>564</v>
      </c>
      <c r="F85" s="31" t="s">
        <v>237</v>
      </c>
      <c r="G85" s="11" t="s">
        <v>565</v>
      </c>
      <c r="H85" s="33" t="s">
        <v>248</v>
      </c>
    </row>
    <row r="86" spans="1:8" ht="26.4" x14ac:dyDescent="0.3">
      <c r="A86" s="30"/>
      <c r="B86" s="10"/>
      <c r="C86" s="24" t="s">
        <v>566</v>
      </c>
      <c r="D86" s="11" t="s">
        <v>567</v>
      </c>
      <c r="E86" s="11" t="s">
        <v>568</v>
      </c>
      <c r="F86" s="31" t="s">
        <v>237</v>
      </c>
      <c r="G86" s="11" t="s">
        <v>569</v>
      </c>
      <c r="H86" s="35" t="s">
        <v>330</v>
      </c>
    </row>
    <row r="87" spans="1:8" ht="39.6" x14ac:dyDescent="0.3">
      <c r="A87" s="30"/>
      <c r="B87" s="10"/>
      <c r="C87" s="24" t="s">
        <v>570</v>
      </c>
      <c r="D87" s="11" t="s">
        <v>571</v>
      </c>
      <c r="E87" s="11" t="s">
        <v>572</v>
      </c>
      <c r="F87" s="31" t="s">
        <v>237</v>
      </c>
      <c r="G87" s="11" t="s">
        <v>573</v>
      </c>
      <c r="H87" s="32" t="s">
        <v>239</v>
      </c>
    </row>
    <row r="88" spans="1:8" ht="26.4" x14ac:dyDescent="0.3">
      <c r="A88" s="30"/>
      <c r="B88" s="10"/>
      <c r="C88" s="24" t="s">
        <v>574</v>
      </c>
      <c r="D88" s="11" t="s">
        <v>575</v>
      </c>
      <c r="E88" s="11" t="s">
        <v>576</v>
      </c>
      <c r="F88" s="31" t="s">
        <v>237</v>
      </c>
      <c r="G88" s="11" t="s">
        <v>577</v>
      </c>
      <c r="H88" s="33" t="s">
        <v>248</v>
      </c>
    </row>
    <row r="89" spans="1:8" ht="39.6" x14ac:dyDescent="0.3">
      <c r="A89" s="30"/>
      <c r="B89" s="10"/>
      <c r="C89" s="24" t="s">
        <v>578</v>
      </c>
      <c r="D89" s="11" t="s">
        <v>579</v>
      </c>
      <c r="E89" s="11" t="s">
        <v>580</v>
      </c>
      <c r="F89" s="31" t="s">
        <v>237</v>
      </c>
      <c r="G89" s="11" t="s">
        <v>581</v>
      </c>
      <c r="H89" s="33" t="s">
        <v>248</v>
      </c>
    </row>
    <row r="90" spans="1:8" ht="39.6" x14ac:dyDescent="0.3">
      <c r="A90" s="30"/>
      <c r="B90" s="10"/>
      <c r="C90" s="24" t="s">
        <v>582</v>
      </c>
      <c r="D90" s="11" t="s">
        <v>583</v>
      </c>
      <c r="E90" s="11" t="s">
        <v>584</v>
      </c>
      <c r="F90" s="31" t="s">
        <v>237</v>
      </c>
      <c r="G90" s="11" t="s">
        <v>585</v>
      </c>
      <c r="H90" s="33" t="s">
        <v>248</v>
      </c>
    </row>
    <row r="91" spans="1:8" ht="26.4" x14ac:dyDescent="0.3">
      <c r="A91" s="30"/>
      <c r="B91" s="10"/>
      <c r="C91" s="24" t="s">
        <v>586</v>
      </c>
      <c r="D91" s="11" t="s">
        <v>587</v>
      </c>
      <c r="E91" s="11" t="s">
        <v>588</v>
      </c>
      <c r="F91" s="31" t="s">
        <v>237</v>
      </c>
      <c r="G91" s="11" t="s">
        <v>589</v>
      </c>
      <c r="H91" s="33" t="s">
        <v>248</v>
      </c>
    </row>
    <row r="92" spans="1:8" ht="26.4" x14ac:dyDescent="0.3">
      <c r="A92" s="30"/>
      <c r="B92" s="10"/>
      <c r="C92" s="24" t="s">
        <v>590</v>
      </c>
      <c r="D92" s="11" t="s">
        <v>591</v>
      </c>
      <c r="E92" s="11" t="s">
        <v>592</v>
      </c>
      <c r="F92" s="31" t="s">
        <v>237</v>
      </c>
      <c r="G92" s="11" t="s">
        <v>593</v>
      </c>
      <c r="H92" s="33" t="s">
        <v>248</v>
      </c>
    </row>
    <row r="93" spans="1:8" ht="26.4" x14ac:dyDescent="0.3">
      <c r="A93" s="30"/>
      <c r="B93" s="10"/>
      <c r="C93" s="24" t="s">
        <v>594</v>
      </c>
      <c r="D93" s="11" t="s">
        <v>595</v>
      </c>
      <c r="E93" s="11" t="s">
        <v>596</v>
      </c>
      <c r="F93" s="31" t="s">
        <v>237</v>
      </c>
      <c r="G93" s="11" t="s">
        <v>597</v>
      </c>
      <c r="H93" s="33" t="s">
        <v>248</v>
      </c>
    </row>
    <row r="94" spans="1:8" ht="26.4" x14ac:dyDescent="0.3">
      <c r="A94" s="30"/>
      <c r="B94" s="10"/>
      <c r="C94" s="24" t="s">
        <v>598</v>
      </c>
      <c r="D94" s="11" t="s">
        <v>599</v>
      </c>
      <c r="E94" s="11" t="s">
        <v>600</v>
      </c>
      <c r="F94" s="31" t="s">
        <v>237</v>
      </c>
      <c r="G94" s="11" t="s">
        <v>601</v>
      </c>
      <c r="H94" s="33" t="s">
        <v>248</v>
      </c>
    </row>
    <row r="95" spans="1:8" ht="26.4" x14ac:dyDescent="0.3">
      <c r="A95" s="30"/>
      <c r="B95" s="10"/>
      <c r="C95" s="24" t="s">
        <v>602</v>
      </c>
      <c r="D95" s="11" t="s">
        <v>603</v>
      </c>
      <c r="E95" s="11" t="s">
        <v>604</v>
      </c>
      <c r="F95" s="31" t="s">
        <v>237</v>
      </c>
      <c r="G95" s="11" t="s">
        <v>605</v>
      </c>
      <c r="H95" s="33" t="s">
        <v>248</v>
      </c>
    </row>
    <row r="96" spans="1:8" ht="26.4" x14ac:dyDescent="0.3">
      <c r="A96" s="30"/>
      <c r="B96" s="10"/>
      <c r="C96" s="24" t="s">
        <v>606</v>
      </c>
      <c r="D96" s="11" t="s">
        <v>607</v>
      </c>
      <c r="E96" s="11" t="s">
        <v>608</v>
      </c>
      <c r="F96" s="31" t="s">
        <v>237</v>
      </c>
      <c r="G96" s="11" t="s">
        <v>609</v>
      </c>
      <c r="H96" s="33" t="s">
        <v>248</v>
      </c>
    </row>
    <row r="97" spans="1:8" ht="39.6" x14ac:dyDescent="0.3">
      <c r="A97" s="30"/>
      <c r="B97" s="10"/>
      <c r="C97" s="24" t="s">
        <v>610</v>
      </c>
      <c r="D97" s="11" t="s">
        <v>611</v>
      </c>
      <c r="E97" s="11" t="s">
        <v>612</v>
      </c>
      <c r="F97" s="31" t="s">
        <v>237</v>
      </c>
      <c r="G97" s="11" t="s">
        <v>613</v>
      </c>
      <c r="H97" s="33" t="s">
        <v>248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Risk Criteria</vt:lpstr>
      <vt:lpstr>Asset Register</vt:lpstr>
      <vt:lpstr>Risk Assessment</vt:lpstr>
      <vt:lpstr>Statement of Applicability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Kelvin Guzman</cp:lastModifiedBy>
  <cp:revision>0</cp:revision>
  <dcterms:created xsi:type="dcterms:W3CDTF">2026-06-22T02:35:36Z</dcterms:created>
  <dcterms:modified xsi:type="dcterms:W3CDTF">2026-06-22T03:06:06Z</dcterms:modified>
  <dc:language>en-US</dc:language>
</cp:coreProperties>
</file>